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13_ncr:1_{38BC127C-E388-4475-8052-D72B979CEFE9}" xr6:coauthVersionLast="47" xr6:coauthVersionMax="47" xr10:uidLastSave="{00000000-0000-0000-0000-000000000000}"/>
  <bookViews>
    <workbookView xWindow="-110" yWindow="-110" windowWidth="19420" windowHeight="11020" xr2:uid="{3C1BE1CA-008C-4310-8948-2681B40ACB87}"/>
  </bookViews>
  <sheets>
    <sheet name="目次" sheetId="2" r:id="rId1"/>
    <sheet name="テスト用1" sheetId="3" r:id="rId2"/>
    <sheet name="テスト用2" sheetId="4" r:id="rId3"/>
    <sheet name="テスト用3" sheetId="14" r:id="rId4"/>
    <sheet name="テスト用4" sheetId="13" r:id="rId5"/>
    <sheet name="テスト用5" sheetId="7" r:id="rId6"/>
    <sheet name="テスト用4_原本" sheetId="9" state="hidden" r:id="rId7"/>
    <sheet name="テスト用3_原本" sheetId="10" state="hidden" r:id="rId8"/>
    <sheet name="テスト用2_原本" sheetId="11" state="hidden" r:id="rId9"/>
    <sheet name="テスト用1_原本" sheetId="12" state="hidden" r:id="rId10"/>
    <sheet name="テスト用5_原本" sheetId="8" state="hidden" r:id="rId11"/>
  </sheets>
  <definedNames>
    <definedName name="GEMINI_API_KEY">目次!$A$13</definedName>
    <definedName name="会員名簿">テスト用4!$A$5:$E$13</definedName>
    <definedName name="使われない名前">テスト用4!$A$1</definedName>
    <definedName name="申込一覧">テスト用4!$I$5:$K$11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5" i="13" l="1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27" i="12" s="1"/>
  <c r="D31" i="12" s="1"/>
  <c r="M5" i="9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27" i="3" s="1"/>
  <c r="D31" i="3" s="1"/>
  <c r="G28" i="12" l="1"/>
  <c r="G28" i="3"/>
</calcChain>
</file>

<file path=xl/sharedStrings.xml><?xml version="1.0" encoding="utf-8"?>
<sst xmlns="http://schemas.openxmlformats.org/spreadsheetml/2006/main" count="504" uniqueCount="155">
  <si>
    <t>Gemini APIキー（gemini(直) を使う場合。下の黄色い欄に貼り付け）</t>
  </si>
  <si>
    <t>※ Google AI Studio で無料発行。claude を使う場合は不要（claude CLI のログインで動きます）</t>
  </si>
  <si>
    <t>※ このファイルを人に渡すときは、キー欄を消してから渡してください</t>
  </si>
  <si>
    <t>テスト用データ（Excelコンボの練習台）</t>
  </si>
  <si>
    <t>このシートを対象にして聞いてみてください。例：「担当ごとの数量合計を出して」「G列の式が合っているかチェックして」「D31の式がエラーになる原因を探して直して」</t>
    <phoneticPr fontId="2"/>
  </si>
  <si>
    <t>日付</t>
  </si>
  <si>
    <t>商品</t>
  </si>
  <si>
    <t>分類</t>
  </si>
  <si>
    <t>担当</t>
  </si>
  <si>
    <t>数量</t>
  </si>
  <si>
    <t>単価</t>
  </si>
  <si>
    <t>金額</t>
  </si>
  <si>
    <t>えんぴつ</t>
  </si>
  <si>
    <t>筆記具</t>
  </si>
  <si>
    <t>佐藤</t>
  </si>
  <si>
    <t>ノート</t>
  </si>
  <si>
    <t>紙製品</t>
  </si>
  <si>
    <t>鈴木</t>
  </si>
  <si>
    <t>消しゴム</t>
  </si>
  <si>
    <t>田中</t>
  </si>
  <si>
    <t>ボールペン</t>
  </si>
  <si>
    <t>コピー用紙</t>
  </si>
  <si>
    <t>ふせん</t>
  </si>
  <si>
    <t>ホッチキス</t>
  </si>
  <si>
    <t>事務機</t>
  </si>
  <si>
    <t>クリップ</t>
  </si>
  <si>
    <t>はさみ</t>
  </si>
  <si>
    <t>のり</t>
  </si>
  <si>
    <t>合計</t>
  </si>
  <si>
    <t>平均</t>
  </si>
  <si>
    <t>↓ わざと壊してある式です（AI数式チェックで「エラーになる原因を探して」と聞いてみてください）</t>
  </si>
  <si>
    <t>1個あたり平均単価 →</t>
    <phoneticPr fontId="2"/>
  </si>
  <si>
    <t>テスト用データ2（汚れた名簿の掃除）</t>
  </si>
  <si>
    <t>例：「氏名の空白を全角1つに統一して」「重複している会員を探して、重複している行を削除して」「フリガナの半角カナを全角に揃えて」「会員番号の全角数字を半角に直して」「入会日の形式を揃えて」「仕上げに表全体の罫線を格子で引き直して」</t>
    <phoneticPr fontId="2"/>
  </si>
  <si>
    <t>会員番号</t>
  </si>
  <si>
    <t>氏名</t>
  </si>
  <si>
    <t>フリガナ</t>
  </si>
  <si>
    <t>種別</t>
  </si>
  <si>
    <t>入会日</t>
  </si>
  <si>
    <t>1001</t>
  </si>
  <si>
    <t>佐藤　一郎</t>
    <phoneticPr fontId="2"/>
  </si>
  <si>
    <t>サトウ イチロウ</t>
    <phoneticPr fontId="2"/>
  </si>
  <si>
    <t>正会員</t>
  </si>
  <si>
    <t>1002</t>
  </si>
  <si>
    <t>鈴木　花子</t>
    <phoneticPr fontId="2"/>
  </si>
  <si>
    <t>スズキ ハナコ</t>
    <phoneticPr fontId="2"/>
  </si>
  <si>
    <t>1003</t>
  </si>
  <si>
    <t>田中　次郎</t>
    <phoneticPr fontId="2"/>
  </si>
  <si>
    <t>タナカ ジロウ</t>
    <phoneticPr fontId="2"/>
  </si>
  <si>
    <t>準会員</t>
  </si>
  <si>
    <t>1004</t>
  </si>
  <si>
    <t>高橋　三郎</t>
    <phoneticPr fontId="2"/>
  </si>
  <si>
    <t>タカハシ サブロウ</t>
    <phoneticPr fontId="2"/>
  </si>
  <si>
    <t>1005</t>
  </si>
  <si>
    <t>伊藤　さくら</t>
    <phoneticPr fontId="2"/>
  </si>
  <si>
    <t>1006</t>
  </si>
  <si>
    <t>渡辺　健</t>
    <phoneticPr fontId="2"/>
  </si>
  <si>
    <t>ワタナベ ケン</t>
    <phoneticPr fontId="2"/>
  </si>
  <si>
    <t>1007</t>
  </si>
  <si>
    <t>山本　美咲</t>
    <phoneticPr fontId="2"/>
  </si>
  <si>
    <t>ヤマモト ミサキ</t>
    <phoneticPr fontId="2"/>
  </si>
  <si>
    <t>学生</t>
  </si>
  <si>
    <t>1008</t>
  </si>
  <si>
    <t>中村　大輔</t>
    <phoneticPr fontId="2"/>
  </si>
  <si>
    <t>ナカムラ ダイスケ</t>
    <phoneticPr fontId="2"/>
  </si>
  <si>
    <t>1009</t>
  </si>
  <si>
    <t>小林　蓮</t>
    <phoneticPr fontId="2"/>
  </si>
  <si>
    <t>コバヤシ レン</t>
    <phoneticPr fontId="2"/>
  </si>
  <si>
    <t>1010</t>
  </si>
  <si>
    <t>加藤　葵</t>
    <phoneticPr fontId="2"/>
  </si>
  <si>
    <t>カトウ アオイ</t>
    <phoneticPr fontId="2"/>
  </si>
  <si>
    <t>１０１２</t>
  </si>
  <si>
    <t>吉田　陽菜</t>
    <phoneticPr fontId="2"/>
  </si>
  <si>
    <t>ヨシダ ヒナタ</t>
    <phoneticPr fontId="2"/>
  </si>
  <si>
    <t>1013</t>
  </si>
  <si>
    <t>山田　太郎</t>
    <phoneticPr fontId="2"/>
  </si>
  <si>
    <t>ヤマダ タロウ</t>
    <phoneticPr fontId="2"/>
  </si>
  <si>
    <t>1014</t>
  </si>
  <si>
    <t>佐々木　凛</t>
    <phoneticPr fontId="2"/>
  </si>
  <si>
    <t>ササキ リン</t>
    <phoneticPr fontId="2"/>
  </si>
  <si>
    <t>1015</t>
  </si>
  <si>
    <t>松本　悠斗</t>
    <phoneticPr fontId="2"/>
  </si>
  <si>
    <t>マツモト ユウト</t>
    <phoneticPr fontId="2"/>
  </si>
  <si>
    <t>テスト用データ3（在庫チェック）</t>
  </si>
  <si>
    <t>例：「D列に、在庫数が発注点を下回っていたら『要発注』と出す式を入れて」「要発注の行の背景を赤くする条件付き書式を付けて」</t>
  </si>
  <si>
    <t>品名</t>
  </si>
  <si>
    <t>在庫数</t>
  </si>
  <si>
    <t>発注点</t>
  </si>
  <si>
    <t>状態</t>
  </si>
  <si>
    <t>マーカー</t>
  </si>
  <si>
    <t>テープ</t>
  </si>
  <si>
    <t>テスト用データ4（住所の整形と突合）</t>
    <phoneticPr fontId="2"/>
  </si>
  <si>
    <t>例：「郵便番号をハイフンつきに統一して」「住所の全角半角をそろえて」「左の名簿と右の申込一覧を会員番号で突き合わせて」</t>
  </si>
  <si>
    <t>郵便番号</t>
  </si>
  <si>
    <t>住所</t>
  </si>
  <si>
    <t>電話</t>
  </si>
  <si>
    <t>申込コース</t>
  </si>
  <si>
    <t>青木 誠</t>
  </si>
  <si>
    <t>年間</t>
  </si>
  <si>
    <t>↑ 名前を使った式（名前を消すと壊れます）</t>
  </si>
  <si>
    <t>石川 恵</t>
  </si>
  <si>
    <t>半年</t>
  </si>
  <si>
    <t>上田 学</t>
  </si>
  <si>
    <t>遠藤 香</t>
  </si>
  <si>
    <t>月額</t>
  </si>
  <si>
    <t>大西 亮</t>
  </si>
  <si>
    <t>加藤 環</t>
  </si>
  <si>
    <t>木村 悠</t>
  </si>
  <si>
    <t>小島 望</t>
  </si>
  <si>
    <t>テスト用データ5（結合セルの帳票・図形の整理・印刷の仕上げ）</t>
  </si>
  <si>
    <t>例：「この帳票を1行1件の一覧表に直して」「要らない図形を消して」「印刷を1ページ幅に収めて見出しを全ページに出して」</t>
  </si>
  <si>
    <t>令和8年度　備品貸出簿</t>
  </si>
  <si>
    <t>整理番号</t>
  </si>
  <si>
    <t>貸出</t>
  </si>
  <si>
    <t>返却</t>
  </si>
  <si>
    <t>備考</t>
  </si>
  <si>
    <t>プロジェクタ</t>
  </si>
  <si>
    <t>ノートPC（貸出中）</t>
  </si>
  <si>
    <t>伊藤</t>
  </si>
  <si>
    <t>延長コード</t>
  </si>
  <si>
    <t>高橋</t>
  </si>
  <si>
    <t>ホワイトボード</t>
  </si>
  <si>
    <t>デジカメ</t>
  </si>
  <si>
    <t>三脚（貸出中）</t>
  </si>
  <si>
    <t>マイク</t>
  </si>
  <si>
    <t>スピーカー</t>
  </si>
  <si>
    <t>台車</t>
  </si>
  <si>
    <t>工具箱（貸出中）</t>
  </si>
  <si>
    <t>脚立</t>
  </si>
  <si>
    <t>レーザーポインタ</t>
  </si>
  <si>
    <t>000-0001</t>
    <phoneticPr fontId="2"/>
  </si>
  <si>
    <t>架空県中央市本町1-1-1</t>
    <phoneticPr fontId="2"/>
  </si>
  <si>
    <t>000-000-1111</t>
    <phoneticPr fontId="2"/>
  </si>
  <si>
    <t>0000002</t>
    <phoneticPr fontId="2"/>
  </si>
  <si>
    <t>架空県中央市大手町１－２－３</t>
    <phoneticPr fontId="2"/>
  </si>
  <si>
    <t>000-000-2222</t>
    <phoneticPr fontId="2"/>
  </si>
  <si>
    <t>000-0003</t>
    <phoneticPr fontId="2"/>
  </si>
  <si>
    <t>架空県北山市青葉1-1</t>
    <phoneticPr fontId="2"/>
  </si>
  <si>
    <t>000-000-3333</t>
    <phoneticPr fontId="2"/>
  </si>
  <si>
    <t>000-0004</t>
    <phoneticPr fontId="2"/>
  </si>
  <si>
    <t>架空県南川市旭町8-2</t>
    <phoneticPr fontId="2"/>
  </si>
  <si>
    <t>000-000-4444</t>
    <phoneticPr fontId="2"/>
  </si>
  <si>
    <t>000-0005</t>
    <phoneticPr fontId="2"/>
  </si>
  <si>
    <t>架空県東野市栄17</t>
    <phoneticPr fontId="2"/>
  </si>
  <si>
    <t>000-000-5555</t>
    <phoneticPr fontId="2"/>
  </si>
  <si>
    <t>0000006</t>
    <phoneticPr fontId="2"/>
  </si>
  <si>
    <t>架空県西原市宮下１番３号</t>
    <phoneticPr fontId="2"/>
  </si>
  <si>
    <t>000-000-6666</t>
    <phoneticPr fontId="2"/>
  </si>
  <si>
    <t>000-0007</t>
    <phoneticPr fontId="2"/>
  </si>
  <si>
    <t>架空県港北市浜町4-1</t>
    <phoneticPr fontId="2"/>
  </si>
  <si>
    <t>000-000-7777</t>
    <phoneticPr fontId="2"/>
  </si>
  <si>
    <t>000-0008</t>
    <phoneticPr fontId="2"/>
  </si>
  <si>
    <t>架空県杉山市緑町1-1</t>
    <phoneticPr fontId="2"/>
  </si>
  <si>
    <t>000-000-8888</t>
    <phoneticPr fontId="2"/>
  </si>
  <si>
    <t xml:space="preserve">※　メニューは、　Shift　＋　Ctrl 　+　M　　で開きます。 </t>
    <rPh sb="29" eb="30">
      <t>ヒラ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</si>
</sst>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#,##0.0"/>
    <numFmt numFmtId="178" formatCode="yyyy/mm/dd"/>
  </numFmts>
  <fonts count="17">
    <font>
      <sz val="11"/>
      <color theme="1"/>
      <name val="游ゴシック"/>
      <family val="2"/>
      <charset val="128"/>
      <scheme val="minor"/>
    </font>
    <font>
      <b/>
      <sz val="12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rgb="FF808080"/>
      <name val="Meiryo UI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808080"/>
      <name val="游ゴシック"/>
      <family val="2"/>
      <charset val="128"/>
      <scheme val="minor"/>
    </font>
    <font>
      <sz val="12"/>
      <name val="游ゴシック"/>
      <family val="2"/>
      <charset val="128"/>
      <scheme val="minor"/>
    </font>
    <font>
      <sz val="12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9" fillId="3" borderId="4" xfId="0" applyFont="1" applyFill="1" applyBorder="1">
      <alignment vertical="center"/>
    </xf>
    <xf numFmtId="176" fontId="0" fillId="0" borderId="4" xfId="0" applyNumberFormat="1" applyBorder="1">
      <alignment vertical="center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10" fillId="0" borderId="0" xfId="0" applyFont="1">
      <alignment vertical="center"/>
    </xf>
    <xf numFmtId="49" fontId="0" fillId="0" borderId="4" xfId="0" applyNumberFormat="1" applyBorder="1">
      <alignment vertical="center"/>
    </xf>
    <xf numFmtId="178" fontId="0" fillId="0" borderId="4" xfId="0" applyNumberFormat="1" applyBorder="1">
      <alignment vertical="center"/>
    </xf>
    <xf numFmtId="178" fontId="0" fillId="0" borderId="4" xfId="0" quotePrefix="1" applyNumberFormat="1" applyBorder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6" fillId="3" borderId="0" xfId="0" applyFont="1" applyFill="1">
      <alignment vertical="center"/>
    </xf>
    <xf numFmtId="0" fontId="16" fillId="3" borderId="4" xfId="0" applyFont="1" applyFill="1" applyBorder="1">
      <alignment vertical="center"/>
    </xf>
    <xf numFmtId="14" fontId="14" fillId="0" borderId="4" xfId="0" applyNumberFormat="1" applyFont="1" applyBorder="1">
      <alignment vertical="center"/>
    </xf>
    <xf numFmtId="0" fontId="14" fillId="0" borderId="4" xfId="0" applyFont="1" applyBorder="1">
      <alignment vertical="center"/>
    </xf>
    <xf numFmtId="49" fontId="14" fillId="0" borderId="0" xfId="0" quotePrefix="1" applyNumberFormat="1" applyFont="1">
      <alignment vertical="center"/>
    </xf>
    <xf numFmtId="49" fontId="14" fillId="0" borderId="0" xfId="0" applyNumberFormat="1" applyFont="1">
      <alignment vertical="center"/>
    </xf>
    <xf numFmtId="49" fontId="3" fillId="2" borderId="1" xfId="0" applyNumberFormat="1" applyFont="1" applyFill="1" applyBorder="1">
      <alignment vertical="center"/>
    </xf>
    <xf numFmtId="49" fontId="3" fillId="2" borderId="2" xfId="0" applyNumberFormat="1" applyFont="1" applyFill="1" applyBorder="1">
      <alignment vertical="center"/>
    </xf>
    <xf numFmtId="49" fontId="3" fillId="2" borderId="3" xfId="0" applyNumberFormat="1" applyFont="1" applyFill="1" applyBorder="1">
      <alignment vertical="center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4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5" xfId="0" applyFont="1" applyFill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198783</xdr:colOff>
      <xdr:row>1</xdr:row>
      <xdr:rowOff>0</xdr:rowOff>
    </xdr:from>
    <xdr:to>
      <xdr:col>4</xdr:col>
      <xdr:colOff>351183</xdr:colOff>
      <xdr:row>3</xdr:row>
      <xdr:rowOff>48591</xdr:rowOff>
    </xdr:to>
    <xdr:sp macro="[0]!AIのマクロ一覧" textlink="">
      <xdr:nvSpPr>
        <xdr:cNvPr id="2" name="btnアドイン更新登録">
          <a:extLst>
            <a:ext uri="{FF2B5EF4-FFF2-40B4-BE49-F238E27FC236}">
              <a16:creationId xmlns:a16="http://schemas.microsoft.com/office/drawing/2014/main" id="{48E1175F-975C-4518-ADE6-385786C8B24A}"/>
            </a:ext>
          </a:extLst>
        </xdr:cNvPr>
        <xdr:cNvSpPr/>
      </xdr:nvSpPr>
      <xdr:spPr>
        <a:xfrm>
          <a:off x="198783" y="2286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AI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のマクロ一覧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176696</xdr:colOff>
      <xdr:row>4</xdr:row>
      <xdr:rowOff>0</xdr:rowOff>
    </xdr:from>
    <xdr:to>
      <xdr:col>4</xdr:col>
      <xdr:colOff>329096</xdr:colOff>
      <xdr:row>6</xdr:row>
      <xdr:rowOff>48591</xdr:rowOff>
    </xdr:to>
    <xdr:sp macro="[0]!Excelコンボ" textlink="">
      <xdr:nvSpPr>
        <xdr:cNvPr id="3" name="btnアドイン更新登録">
          <a:extLst>
            <a:ext uri="{FF2B5EF4-FFF2-40B4-BE49-F238E27FC236}">
              <a16:creationId xmlns:a16="http://schemas.microsoft.com/office/drawing/2014/main" id="{195A3AAB-05E9-4F72-BF6E-D94EB97298A0}"/>
            </a:ext>
          </a:extLst>
        </xdr:cNvPr>
        <xdr:cNvSpPr/>
      </xdr:nvSpPr>
      <xdr:spPr>
        <a:xfrm>
          <a:off x="176696" y="914400"/>
          <a:ext cx="2794000" cy="505791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latin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latin typeface="Meiryo UI" panose="020B0604030504040204" pitchFamily="50" charset="-128"/>
            </a:rPr>
            <a:t>コンボ</a:t>
          </a:r>
          <a:endParaRPr kumimoji="1" lang="en-US" altLang="ja-JP" sz="1200" b="1">
            <a:solidFill>
              <a:srgbClr val="000000"/>
            </a:solidFill>
            <a:latin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A7CB4ACE-5B20-47BB-B1B2-474160314FDC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C1907A-1897-444B-9AD2-12C94023BC83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104A05F6-F59D-4E31-8EBE-54D2E60F8F4D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3A72D6CB-8A9C-45CD-BEB1-36E24B6445C0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D0CF5C2-D0ED-43BA-8F00-440E0F43FD1C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A343D0DF-CC86-4278-9736-8B9642D079A8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0FDDE6FF-051C-40F3-A6BC-B0F858DE096A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429B3AC9-CCCC-467D-894F-6110F250FA66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D2634137-C100-4CCA-ABA6-4FF07985C211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546DB97D-FF5C-439E-A1C5-CB3AC37F10E4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[0]!Excelコンボ" textlink="">
      <xdr:nvSpPr>
        <xdr:cNvPr id="3" name="btnテストコンボ">
          <a:extLst>
            <a:ext uri="{FF2B5EF4-FFF2-40B4-BE49-F238E27FC236}">
              <a16:creationId xmlns:a16="http://schemas.microsoft.com/office/drawing/2014/main" id="{C1F3B0C0-4D0A-44E6-8C13-FBE6D597528B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FBDEE9EE-BAC6-497C-BD48-03212F779A64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BBB20E5B-DDCE-4BFD-99C9-74AAF9A36878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3C072647-5026-476B-AC93-E75C39A536FB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D43F11AB-7918-4F56-A94D-67A334BDCC24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CAA3F372-B894-4C7A-8D57-F90282267938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11709B70-8DA8-4DE3-BF79-ACF7564EE8D7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[0]!Excelコンボ" textlink="">
      <xdr:nvSpPr>
        <xdr:cNvPr id="7" name="btnテストコンボ">
          <a:extLst>
            <a:ext uri="{FF2B5EF4-FFF2-40B4-BE49-F238E27FC236}">
              <a16:creationId xmlns:a16="http://schemas.microsoft.com/office/drawing/2014/main" id="{F9C1D8CD-9EE2-4036-9A10-73D2275FBA2A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F8E97BE0-92E7-4097-B79E-8140BEA02380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899160</xdr:colOff>
      <xdr:row>0</xdr:row>
      <xdr:rowOff>88900</xdr:rowOff>
    </xdr:from>
    <xdr:to>
      <xdr:col>4</xdr:col>
      <xdr:colOff>559850</xdr:colOff>
      <xdr:row>1</xdr:row>
      <xdr:rowOff>167309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EE71E6A4-E20F-4A55-8150-F192500F4635}"/>
            </a:ext>
          </a:extLst>
        </xdr:cNvPr>
        <xdr:cNvSpPr/>
      </xdr:nvSpPr>
      <xdr:spPr>
        <a:xfrm>
          <a:off x="3089910" y="88900"/>
          <a:ext cx="164824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661670</xdr:colOff>
      <xdr:row>0</xdr:row>
      <xdr:rowOff>88900</xdr:rowOff>
    </xdr:from>
    <xdr:to>
      <xdr:col>6</xdr:col>
      <xdr:colOff>355490</xdr:colOff>
      <xdr:row>1</xdr:row>
      <xdr:rowOff>167309</xdr:rowOff>
    </xdr:to>
    <xdr:sp macro="[0]!Excelコンボ" textlink="">
      <xdr:nvSpPr>
        <xdr:cNvPr id="3" name="btnテストコンボ">
          <a:extLst>
            <a:ext uri="{FF2B5EF4-FFF2-40B4-BE49-F238E27FC236}">
              <a16:creationId xmlns:a16="http://schemas.microsoft.com/office/drawing/2014/main" id="{0BBA099C-E964-45E1-9C23-8B82BC0D5452}"/>
            </a:ext>
          </a:extLst>
        </xdr:cNvPr>
        <xdr:cNvSpPr/>
      </xdr:nvSpPr>
      <xdr:spPr>
        <a:xfrm>
          <a:off x="4839970" y="88900"/>
          <a:ext cx="1427370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457200</xdr:colOff>
      <xdr:row>0</xdr:row>
      <xdr:rowOff>88900</xdr:rowOff>
    </xdr:from>
    <xdr:to>
      <xdr:col>8</xdr:col>
      <xdr:colOff>429867</xdr:colOff>
      <xdr:row>1</xdr:row>
      <xdr:rowOff>167309</xdr:rowOff>
    </xdr:to>
    <xdr:sp macro="シートを元に戻す" textlink="">
      <xdr:nvSpPr>
        <xdr:cNvPr id="4" name="btnテスト元に戻す">
          <a:extLst>
            <a:ext uri="{FF2B5EF4-FFF2-40B4-BE49-F238E27FC236}">
              <a16:creationId xmlns:a16="http://schemas.microsoft.com/office/drawing/2014/main" id="{488FB0BF-38CF-40F2-BD52-AA4EDDDB454B}"/>
            </a:ext>
          </a:extLst>
        </xdr:cNvPr>
        <xdr:cNvSpPr/>
      </xdr:nvSpPr>
      <xdr:spPr>
        <a:xfrm>
          <a:off x="6369050" y="88900"/>
          <a:ext cx="1433167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558802</xdr:colOff>
      <xdr:row>0</xdr:row>
      <xdr:rowOff>25400</xdr:rowOff>
    </xdr:from>
    <xdr:to>
      <xdr:col>5</xdr:col>
      <xdr:colOff>512419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59F8478D-C737-4D22-AAF4-BCB4EA435978}"/>
            </a:ext>
          </a:extLst>
        </xdr:cNvPr>
        <xdr:cNvSpPr/>
      </xdr:nvSpPr>
      <xdr:spPr>
        <a:xfrm>
          <a:off x="2825752" y="25400"/>
          <a:ext cx="1420467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8</xdr:col>
      <xdr:colOff>150193</xdr:colOff>
      <xdr:row>0</xdr:row>
      <xdr:rowOff>25400</xdr:rowOff>
    </xdr:from>
    <xdr:to>
      <xdr:col>10</xdr:col>
      <xdr:colOff>247376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F28DA463-6D97-49B8-BC2A-5D6A21BA920C}"/>
            </a:ext>
          </a:extLst>
        </xdr:cNvPr>
        <xdr:cNvSpPr/>
      </xdr:nvSpPr>
      <xdr:spPr>
        <a:xfrm>
          <a:off x="5865193" y="25400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5</xdr:col>
      <xdr:colOff>614019</xdr:colOff>
      <xdr:row>0</xdr:row>
      <xdr:rowOff>25400</xdr:rowOff>
    </xdr:from>
    <xdr:to>
      <xdr:col>8</xdr:col>
      <xdr:colOff>48593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507AEFD-ACC0-4941-BF03-B43BFAD66C59}"/>
            </a:ext>
          </a:extLst>
        </xdr:cNvPr>
        <xdr:cNvSpPr/>
      </xdr:nvSpPr>
      <xdr:spPr>
        <a:xfrm>
          <a:off x="4347819" y="25400"/>
          <a:ext cx="1415774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1322193</xdr:colOff>
      <xdr:row>0</xdr:row>
      <xdr:rowOff>14357</xdr:rowOff>
    </xdr:from>
    <xdr:to>
      <xdr:col>4</xdr:col>
      <xdr:colOff>679462</xdr:colOff>
      <xdr:row>1</xdr:row>
      <xdr:rowOff>65157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227863D4-F6CD-434C-8B9C-79A6FC5E3BAC}"/>
            </a:ext>
          </a:extLst>
        </xdr:cNvPr>
        <xdr:cNvSpPr/>
      </xdr:nvSpPr>
      <xdr:spPr>
        <a:xfrm>
          <a:off x="3239893" y="14357"/>
          <a:ext cx="142736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7</xdr:col>
      <xdr:colOff>19062</xdr:colOff>
      <xdr:row>0</xdr:row>
      <xdr:rowOff>14357</xdr:rowOff>
    </xdr:from>
    <xdr:to>
      <xdr:col>9</xdr:col>
      <xdr:colOff>116245</xdr:colOff>
      <xdr:row>1</xdr:row>
      <xdr:rowOff>65157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BB64EAE9-F7FF-4C7F-A91E-998BEF400209}"/>
            </a:ext>
          </a:extLst>
        </xdr:cNvPr>
        <xdr:cNvSpPr/>
      </xdr:nvSpPr>
      <xdr:spPr>
        <a:xfrm>
          <a:off x="6286512" y="14357"/>
          <a:ext cx="1417983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4</xdr:col>
      <xdr:colOff>781062</xdr:colOff>
      <xdr:row>0</xdr:row>
      <xdr:rowOff>14357</xdr:rowOff>
    </xdr:from>
    <xdr:to>
      <xdr:col>6</xdr:col>
      <xdr:colOff>580071</xdr:colOff>
      <xdr:row>1</xdr:row>
      <xdr:rowOff>65157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DB83004-00B3-40B3-B567-28F9869F4564}"/>
            </a:ext>
          </a:extLst>
        </xdr:cNvPr>
        <xdr:cNvSpPr/>
      </xdr:nvSpPr>
      <xdr:spPr>
        <a:xfrm>
          <a:off x="4768862" y="14357"/>
          <a:ext cx="1418259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170898</xdr:colOff>
      <xdr:row>0</xdr:row>
      <xdr:rowOff>25400</xdr:rowOff>
    </xdr:from>
    <xdr:to>
      <xdr:col>7</xdr:col>
      <xdr:colOff>132798</xdr:colOff>
      <xdr:row>1</xdr:row>
      <xdr:rowOff>76200</xdr:rowOff>
    </xdr:to>
    <xdr:sp macro="指示をコピー" textlink="">
      <xdr:nvSpPr>
        <xdr:cNvPr id="2" name="btnテスト指示コピー">
          <a:extLst>
            <a:ext uri="{FF2B5EF4-FFF2-40B4-BE49-F238E27FC236}">
              <a16:creationId xmlns:a16="http://schemas.microsoft.com/office/drawing/2014/main" id="{FC74E09F-36C6-4ADD-83BE-341AE7024405}"/>
            </a:ext>
          </a:extLst>
        </xdr:cNvPr>
        <xdr:cNvSpPr/>
      </xdr:nvSpPr>
      <xdr:spPr>
        <a:xfrm>
          <a:off x="3745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9</xdr:col>
      <xdr:colOff>437598</xdr:colOff>
      <xdr:row>0</xdr:row>
      <xdr:rowOff>25400</xdr:rowOff>
    </xdr:from>
    <xdr:to>
      <xdr:col>11</xdr:col>
      <xdr:colOff>539198</xdr:colOff>
      <xdr:row>1</xdr:row>
      <xdr:rowOff>76200</xdr:rowOff>
    </xdr:to>
    <xdr:sp macro="シートを元に戻す" textlink="">
      <xdr:nvSpPr>
        <xdr:cNvPr id="3" name="btnテスト元に戻す">
          <a:extLst>
            <a:ext uri="{FF2B5EF4-FFF2-40B4-BE49-F238E27FC236}">
              <a16:creationId xmlns:a16="http://schemas.microsoft.com/office/drawing/2014/main" id="{6A1AADBF-D539-432F-B295-84226BB07017}"/>
            </a:ext>
          </a:extLst>
        </xdr:cNvPr>
        <xdr:cNvSpPr/>
      </xdr:nvSpPr>
      <xdr:spPr>
        <a:xfrm>
          <a:off x="6793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  <xdr:twoCellAnchor editAs="absolute">
    <xdr:from>
      <xdr:col>7</xdr:col>
      <xdr:colOff>234398</xdr:colOff>
      <xdr:row>0</xdr:row>
      <xdr:rowOff>25400</xdr:rowOff>
    </xdr:from>
    <xdr:to>
      <xdr:col>9</xdr:col>
      <xdr:colOff>335998</xdr:colOff>
      <xdr:row>1</xdr:row>
      <xdr:rowOff>76200</xdr:rowOff>
    </xdr:to>
    <xdr:sp macro="[0]!Excelコンボ" textlink="">
      <xdr:nvSpPr>
        <xdr:cNvPr id="4" name="btnテストコンボ">
          <a:extLst>
            <a:ext uri="{FF2B5EF4-FFF2-40B4-BE49-F238E27FC236}">
              <a16:creationId xmlns:a16="http://schemas.microsoft.com/office/drawing/2014/main" id="{32D84D98-E4BA-4BEB-BC6A-63C7BD0E38EA}"/>
            </a:ext>
          </a:extLst>
        </xdr:cNvPr>
        <xdr:cNvSpPr/>
      </xdr:nvSpPr>
      <xdr:spPr>
        <a:xfrm>
          <a:off x="5269948" y="25400"/>
          <a:ext cx="1422400" cy="304800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2" name="ロゴ枠">
          <a:extLst>
            <a:ext uri="{FF2B5EF4-FFF2-40B4-BE49-F238E27FC236}">
              <a16:creationId xmlns:a16="http://schemas.microsoft.com/office/drawing/2014/main" id="{ABDBAE6C-695A-46CB-86D8-7F4646CC5F3D}"/>
            </a:ext>
          </a:extLst>
        </xdr:cNvPr>
        <xdr:cNvSpPr/>
      </xdr:nvSpPr>
      <xdr:spPr>
        <a:xfrm>
          <a:off x="7772400" y="1193800"/>
          <a:ext cx="1524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総務課</a:t>
          </a:r>
        </a:p>
      </xdr:txBody>
    </xdr:sp>
    <xdr:clientData/>
  </xdr:twoCellAnchor>
  <xdr:twoCellAnchor editAs="absolute">
    <xdr:from>
      <xdr:col>6</xdr:col>
      <xdr:colOff>190500</xdr:colOff>
      <xdr:row>4</xdr:row>
      <xdr:rowOff>0</xdr:rowOff>
    </xdr:from>
    <xdr:to>
      <xdr:col>8</xdr:col>
      <xdr:colOff>393700</xdr:colOff>
      <xdr:row>5</xdr:row>
      <xdr:rowOff>101600</xdr:rowOff>
    </xdr:to>
    <xdr:sp macro="" textlink="">
      <xdr:nvSpPr>
        <xdr:cNvPr id="3" name="重なった要らない図">
          <a:extLst>
            <a:ext uri="{FF2B5EF4-FFF2-40B4-BE49-F238E27FC236}">
              <a16:creationId xmlns:a16="http://schemas.microsoft.com/office/drawing/2014/main" id="{4C86569C-D277-4174-870A-AA3F76EFBF03}"/>
            </a:ext>
          </a:extLst>
        </xdr:cNvPr>
        <xdr:cNvSpPr/>
      </xdr:nvSpPr>
      <xdr:spPr>
        <a:xfrm>
          <a:off x="7772400" y="1193800"/>
          <a:ext cx="152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5</xdr:col>
      <xdr:colOff>946150</xdr:colOff>
      <xdr:row>20</xdr:row>
      <xdr:rowOff>0</xdr:rowOff>
    </xdr:from>
    <xdr:to>
      <xdr:col>7</xdr:col>
      <xdr:colOff>165100</xdr:colOff>
      <xdr:row>22</xdr:row>
      <xdr:rowOff>50800</xdr:rowOff>
    </xdr:to>
    <xdr:sp macro="" textlink="">
      <xdr:nvSpPr>
        <xdr:cNvPr id="4" name="はみ出した矢印">
          <a:extLst>
            <a:ext uri="{FF2B5EF4-FFF2-40B4-BE49-F238E27FC236}">
              <a16:creationId xmlns:a16="http://schemas.microsoft.com/office/drawing/2014/main" id="{E6877562-0828-446A-8B5C-2F12DD46BA9C}"/>
            </a:ext>
          </a:extLst>
        </xdr:cNvPr>
        <xdr:cNvSpPr/>
      </xdr:nvSpPr>
      <xdr:spPr>
        <a:xfrm>
          <a:off x="7264400" y="4876800"/>
          <a:ext cx="1143000" cy="5080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152400</xdr:colOff>
      <xdr:row>4</xdr:row>
      <xdr:rowOff>25400</xdr:rowOff>
    </xdr:from>
    <xdr:to>
      <xdr:col>1</xdr:col>
      <xdr:colOff>158750</xdr:colOff>
      <xdr:row>5</xdr:row>
      <xdr:rowOff>76200</xdr:rowOff>
    </xdr:to>
    <xdr:sp macro="" textlink="">
      <xdr:nvSpPr>
        <xdr:cNvPr id="5" name="印刷ボタンもどき">
          <a:extLst>
            <a:ext uri="{FF2B5EF4-FFF2-40B4-BE49-F238E27FC236}">
              <a16:creationId xmlns:a16="http://schemas.microsoft.com/office/drawing/2014/main" id="{90ED7F2C-A9B9-49FE-A9BF-6FB3D7E2310E}"/>
            </a:ext>
          </a:extLst>
        </xdr:cNvPr>
        <xdr:cNvSpPr/>
      </xdr:nvSpPr>
      <xdr:spPr>
        <a:xfrm>
          <a:off x="152400" y="1219200"/>
          <a:ext cx="12700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印刷</a:t>
          </a:r>
        </a:p>
      </xdr:txBody>
    </xdr:sp>
    <xdr:clientData/>
  </xdr:twoCellAnchor>
  <xdr:twoCellAnchor editAs="absolute">
    <xdr:from>
      <xdr:col>3</xdr:col>
      <xdr:colOff>978722</xdr:colOff>
      <xdr:row>0</xdr:row>
      <xdr:rowOff>62752</xdr:rowOff>
    </xdr:from>
    <xdr:to>
      <xdr:col>4</xdr:col>
      <xdr:colOff>1132763</xdr:colOff>
      <xdr:row>1</xdr:row>
      <xdr:rowOff>141161</xdr:rowOff>
    </xdr:to>
    <xdr:sp macro="指示をコピー" textlink="">
      <xdr:nvSpPr>
        <xdr:cNvPr id="6" name="btnテスト指示コピー">
          <a:extLst>
            <a:ext uri="{FF2B5EF4-FFF2-40B4-BE49-F238E27FC236}">
              <a16:creationId xmlns:a16="http://schemas.microsoft.com/office/drawing/2014/main" id="{95E3C776-5E6A-4BE7-87F4-DDEEF0990BEA}"/>
            </a:ext>
          </a:extLst>
        </xdr:cNvPr>
        <xdr:cNvSpPr/>
      </xdr:nvSpPr>
      <xdr:spPr>
        <a:xfrm>
          <a:off x="4769672" y="62752"/>
          <a:ext cx="1417691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指示をコピー</a:t>
          </a:r>
        </a:p>
      </xdr:txBody>
    </xdr:sp>
    <xdr:clientData/>
  </xdr:twoCellAnchor>
  <xdr:twoCellAnchor editAs="absolute">
    <xdr:from>
      <xdr:col>4</xdr:col>
      <xdr:colOff>1235411</xdr:colOff>
      <xdr:row>0</xdr:row>
      <xdr:rowOff>62752</xdr:rowOff>
    </xdr:from>
    <xdr:to>
      <xdr:col>6</xdr:col>
      <xdr:colOff>134393</xdr:colOff>
      <xdr:row>1</xdr:row>
      <xdr:rowOff>141161</xdr:rowOff>
    </xdr:to>
    <xdr:sp macro="[0]!Excelコンボ" textlink="">
      <xdr:nvSpPr>
        <xdr:cNvPr id="7" name="btnテストコンボ">
          <a:extLst>
            <a:ext uri="{FF2B5EF4-FFF2-40B4-BE49-F238E27FC236}">
              <a16:creationId xmlns:a16="http://schemas.microsoft.com/office/drawing/2014/main" id="{6E3E3001-A367-4559-99DC-9B11D2542FA8}"/>
            </a:ext>
          </a:extLst>
        </xdr:cNvPr>
        <xdr:cNvSpPr/>
      </xdr:nvSpPr>
      <xdr:spPr>
        <a:xfrm>
          <a:off x="6290011" y="62752"/>
          <a:ext cx="1426282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000000"/>
              </a:solidFill>
              <a:ea typeface="Meiryo UI" panose="020B0604030504040204" pitchFamily="50" charset="-128"/>
            </a:rPr>
            <a:t>Excel</a:t>
          </a:r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コンボ</a:t>
          </a:r>
        </a:p>
      </xdr:txBody>
    </xdr:sp>
    <xdr:clientData/>
  </xdr:twoCellAnchor>
  <xdr:twoCellAnchor editAs="absolute">
    <xdr:from>
      <xdr:col>6</xdr:col>
      <xdr:colOff>238312</xdr:colOff>
      <xdr:row>0</xdr:row>
      <xdr:rowOff>62752</xdr:rowOff>
    </xdr:from>
    <xdr:to>
      <xdr:col>8</xdr:col>
      <xdr:colOff>508000</xdr:colOff>
      <xdr:row>1</xdr:row>
      <xdr:rowOff>141161</xdr:rowOff>
    </xdr:to>
    <xdr:sp macro="シートを元に戻す" textlink="">
      <xdr:nvSpPr>
        <xdr:cNvPr id="8" name="btnテスト元に戻す">
          <a:extLst>
            <a:ext uri="{FF2B5EF4-FFF2-40B4-BE49-F238E27FC236}">
              <a16:creationId xmlns:a16="http://schemas.microsoft.com/office/drawing/2014/main" id="{E3601452-61B7-4868-9EE2-24485A53E4D5}"/>
            </a:ext>
          </a:extLst>
        </xdr:cNvPr>
        <xdr:cNvSpPr/>
      </xdr:nvSpPr>
      <xdr:spPr>
        <a:xfrm>
          <a:off x="7820212" y="62752"/>
          <a:ext cx="1590488" cy="332409"/>
        </a:xfrm>
        <a:prstGeom prst="roundRect">
          <a:avLst/>
        </a:prstGeom>
        <a:solidFill>
          <a:srgbClr val="E8E8E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000000"/>
              </a:solidFill>
              <a:ea typeface="Meiryo UI" panose="020B0604030504040204" pitchFamily="50" charset="-128"/>
            </a:rPr>
            <a:t>シートを元に戻す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27AC1D-44DA-471F-B27A-B8B3CCF29F78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3859ffce-ce78-4a57-96f1-90d674c80c6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6A7E-F491-457D-8544-246CEE86E9F2}">
  <sheetPr codeName="Sheet2"/>
  <dimension ref="A9:F25"/>
  <sheetViews>
    <sheetView tabSelected="1" zoomScaleNormal="100" workbookViewId="0">
      <selection activeCell="A9" sqref="A9"/>
    </sheetView>
  </sheetViews>
  <sheetFormatPr defaultRowHeight="18"/>
  <sheetData>
    <row r="9" spans="1:6">
      <c r="A9" s="10" t="s">
        <v>154</v>
      </c>
    </row>
    <row r="12" spans="1:6">
      <c r="A12" s="1" t="s">
        <v>0</v>
      </c>
    </row>
    <row r="13" spans="1:6">
      <c r="A13" s="25"/>
      <c r="B13" s="26"/>
      <c r="C13" s="26"/>
      <c r="D13" s="26"/>
      <c r="E13" s="26"/>
      <c r="F13" s="27"/>
    </row>
    <row r="14" spans="1:6">
      <c r="A14" s="2" t="s">
        <v>1</v>
      </c>
    </row>
    <row r="15" spans="1:6">
      <c r="A15" s="2" t="s">
        <v>2</v>
      </c>
    </row>
    <row r="19" spans="1:1" ht="20">
      <c r="A19" s="3"/>
    </row>
    <row r="20" spans="1:1" ht="20">
      <c r="A20" s="4"/>
    </row>
    <row r="21" spans="1:1" ht="20">
      <c r="A21" s="4"/>
    </row>
    <row r="22" spans="1:1" ht="20">
      <c r="A22" s="4"/>
    </row>
    <row r="23" spans="1:1" ht="20">
      <c r="A23" s="4"/>
    </row>
    <row r="24" spans="1:1" ht="20">
      <c r="A24" s="4"/>
    </row>
    <row r="25" spans="1:1" ht="20">
      <c r="A25" s="4"/>
    </row>
  </sheetData>
  <mergeCells count="1">
    <mergeCell ref="A13:F1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EA70F-917A-462E-895D-6169F356E71D}">
  <sheetPr codeName="Sheet7"/>
  <dimension ref="A1:H31"/>
  <sheetViews>
    <sheetView zoomScaleNormal="100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8" t="s">
        <v>4</v>
      </c>
      <c r="B3" s="28"/>
      <c r="C3" s="28"/>
      <c r="D3" s="28"/>
      <c r="E3" s="28"/>
      <c r="F3" s="28"/>
      <c r="G3" s="28"/>
      <c r="H3" s="28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A607-7E29-4C77-94A8-CBCD5EAD37D2}">
  <sheetPr codeName="Sheet19"/>
  <dimension ref="A1:F20"/>
  <sheetViews>
    <sheetView topLeftCell="A3" zoomScaleNormal="100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29" t="s">
        <v>33</v>
      </c>
      <c r="B3" s="29"/>
      <c r="C3" s="29"/>
      <c r="D3" s="29"/>
      <c r="E3" s="29"/>
      <c r="F3" s="29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AB6DB-A268-401D-BE03-010A3D185DAA}">
  <sheetPr codeName="Sheet12"/>
  <dimension ref="A1:H17"/>
  <sheetViews>
    <sheetView zoomScale="115" zoomScaleNormal="115" workbookViewId="0">
      <selection activeCell="A8" sqref="A8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29" t="s">
        <v>84</v>
      </c>
      <c r="B3" s="30"/>
      <c r="C3" s="30"/>
      <c r="D3" s="30"/>
      <c r="E3" s="30"/>
      <c r="F3" s="30"/>
      <c r="G3" s="30"/>
      <c r="H3" s="30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3F05-6A69-4170-A0E7-B9727D1B975E}">
  <sheetPr codeName="Sheet8"/>
  <dimension ref="A1:M13"/>
  <sheetViews>
    <sheetView zoomScaleNormal="100" workbookViewId="0"/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31" t="s">
        <v>92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28B3-2122-4818-88FE-5C0B76A855AB}">
  <sheetPr codeName="Sheet9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31" t="s">
        <v>110</v>
      </c>
      <c r="B3" s="31"/>
      <c r="C3" s="31"/>
      <c r="D3" s="31"/>
      <c r="E3" s="31"/>
      <c r="F3" s="31"/>
    </row>
    <row r="5" spans="1:6" ht="20" customHeight="1">
      <c r="A5" s="32" t="s">
        <v>111</v>
      </c>
      <c r="B5" s="33"/>
      <c r="C5" s="33"/>
      <c r="D5" s="33"/>
      <c r="E5" s="33"/>
      <c r="F5" s="33"/>
    </row>
    <row r="7" spans="1:6" ht="18" customHeight="1">
      <c r="A7" s="34" t="s">
        <v>112</v>
      </c>
      <c r="B7" s="36" t="s">
        <v>113</v>
      </c>
      <c r="C7" s="37"/>
      <c r="D7" s="36" t="s">
        <v>114</v>
      </c>
      <c r="E7" s="37"/>
      <c r="F7" s="34" t="s">
        <v>115</v>
      </c>
    </row>
    <row r="8" spans="1:6" ht="18" customHeight="1">
      <c r="A8" s="35"/>
      <c r="B8" s="20" t="s">
        <v>5</v>
      </c>
      <c r="C8" s="20" t="s">
        <v>8</v>
      </c>
      <c r="D8" s="20" t="s">
        <v>5</v>
      </c>
      <c r="E8" s="20" t="s">
        <v>8</v>
      </c>
      <c r="F8" s="35"/>
    </row>
    <row r="9" spans="1:6" ht="18" customHeight="1">
      <c r="A9" s="38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9" t="s">
        <v>116</v>
      </c>
    </row>
    <row r="10" spans="1:6" ht="18" customHeight="1">
      <c r="A10" s="38"/>
      <c r="B10" s="22"/>
      <c r="C10" s="22"/>
      <c r="D10" s="22"/>
      <c r="E10" s="22"/>
      <c r="F10" s="39"/>
    </row>
    <row r="11" spans="1:6" ht="18" customHeight="1">
      <c r="A11" s="38">
        <v>2</v>
      </c>
      <c r="B11" s="21">
        <v>46028</v>
      </c>
      <c r="C11" s="22" t="s">
        <v>17</v>
      </c>
      <c r="D11" s="22"/>
      <c r="E11" s="22"/>
      <c r="F11" s="39" t="s">
        <v>117</v>
      </c>
    </row>
    <row r="12" spans="1:6" ht="18" customHeight="1">
      <c r="A12" s="38"/>
      <c r="B12" s="22"/>
      <c r="C12" s="22"/>
      <c r="D12" s="22"/>
      <c r="E12" s="22"/>
      <c r="F12" s="39"/>
    </row>
    <row r="13" spans="1:6" ht="18" customHeight="1">
      <c r="A13" s="38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9" t="s">
        <v>119</v>
      </c>
    </row>
    <row r="14" spans="1:6" ht="18" customHeight="1">
      <c r="A14" s="38"/>
      <c r="B14" s="22"/>
      <c r="C14" s="22"/>
      <c r="D14" s="22"/>
      <c r="E14" s="22"/>
      <c r="F14" s="39"/>
    </row>
    <row r="15" spans="1:6" ht="18" customHeight="1">
      <c r="A15" s="38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9" t="s">
        <v>121</v>
      </c>
    </row>
    <row r="16" spans="1:6" ht="18" customHeight="1">
      <c r="A16" s="38"/>
      <c r="B16" s="22"/>
      <c r="C16" s="22"/>
      <c r="D16" s="22"/>
      <c r="E16" s="22"/>
      <c r="F16" s="39"/>
    </row>
    <row r="17" spans="1:6" ht="18" customHeight="1">
      <c r="A17" s="38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9" t="s">
        <v>122</v>
      </c>
    </row>
    <row r="18" spans="1:6" ht="18" customHeight="1">
      <c r="A18" s="38"/>
      <c r="B18" s="22"/>
      <c r="C18" s="22"/>
      <c r="D18" s="22"/>
      <c r="E18" s="22"/>
      <c r="F18" s="39"/>
    </row>
    <row r="19" spans="1:6" ht="18" customHeight="1">
      <c r="A19" s="38">
        <v>6</v>
      </c>
      <c r="B19" s="21">
        <v>46032</v>
      </c>
      <c r="C19" s="22" t="s">
        <v>14</v>
      </c>
      <c r="D19" s="22"/>
      <c r="E19" s="22"/>
      <c r="F19" s="39" t="s">
        <v>123</v>
      </c>
    </row>
    <row r="20" spans="1:6" ht="18" customHeight="1">
      <c r="A20" s="38"/>
      <c r="B20" s="22"/>
      <c r="C20" s="22"/>
      <c r="D20" s="22"/>
      <c r="E20" s="22"/>
      <c r="F20" s="39"/>
    </row>
    <row r="21" spans="1:6" ht="18" customHeight="1">
      <c r="A21" s="38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9" t="s">
        <v>124</v>
      </c>
    </row>
    <row r="22" spans="1:6" ht="18" customHeight="1">
      <c r="A22" s="38"/>
      <c r="B22" s="22"/>
      <c r="C22" s="22"/>
      <c r="D22" s="22"/>
      <c r="E22" s="22"/>
      <c r="F22" s="39"/>
    </row>
    <row r="23" spans="1:6" ht="18" customHeight="1">
      <c r="A23" s="38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9" t="s">
        <v>125</v>
      </c>
    </row>
    <row r="24" spans="1:6" ht="18" customHeight="1">
      <c r="A24" s="38"/>
      <c r="B24" s="22"/>
      <c r="C24" s="22"/>
      <c r="D24" s="22"/>
      <c r="E24" s="22"/>
      <c r="F24" s="39"/>
    </row>
    <row r="25" spans="1:6" ht="18" customHeight="1">
      <c r="A25" s="38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9" t="s">
        <v>126</v>
      </c>
    </row>
    <row r="26" spans="1:6" ht="18" customHeight="1">
      <c r="A26" s="38"/>
      <c r="B26" s="22"/>
      <c r="C26" s="22"/>
      <c r="D26" s="22"/>
      <c r="E26" s="22"/>
      <c r="F26" s="39"/>
    </row>
    <row r="27" spans="1:6" ht="18" customHeight="1">
      <c r="A27" s="38">
        <v>10</v>
      </c>
      <c r="B27" s="21">
        <v>46036</v>
      </c>
      <c r="C27" s="22" t="s">
        <v>118</v>
      </c>
      <c r="D27" s="22"/>
      <c r="E27" s="22"/>
      <c r="F27" s="39" t="s">
        <v>127</v>
      </c>
    </row>
    <row r="28" spans="1:6" ht="18" customHeight="1">
      <c r="A28" s="38"/>
      <c r="B28" s="22"/>
      <c r="C28" s="22"/>
      <c r="D28" s="22"/>
      <c r="E28" s="22"/>
      <c r="F28" s="39"/>
    </row>
    <row r="29" spans="1:6" ht="18" customHeight="1">
      <c r="A29" s="38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9" t="s">
        <v>128</v>
      </c>
    </row>
    <row r="30" spans="1:6" ht="18" customHeight="1">
      <c r="A30" s="38"/>
      <c r="B30" s="22"/>
      <c r="C30" s="22"/>
      <c r="D30" s="22"/>
      <c r="E30" s="22"/>
      <c r="F30" s="39"/>
    </row>
    <row r="31" spans="1:6" ht="18" customHeight="1">
      <c r="A31" s="38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9" t="s">
        <v>129</v>
      </c>
    </row>
    <row r="32" spans="1:6" ht="18" customHeight="1">
      <c r="A32" s="38"/>
      <c r="B32" s="22"/>
      <c r="C32" s="22"/>
      <c r="D32" s="22"/>
      <c r="E32" s="22"/>
      <c r="F32" s="39"/>
    </row>
  </sheetData>
  <mergeCells count="30">
    <mergeCell ref="A27:A28"/>
    <mergeCell ref="F27:F28"/>
    <mergeCell ref="A29:A30"/>
    <mergeCell ref="F29:F30"/>
    <mergeCell ref="A31:A32"/>
    <mergeCell ref="F31:F32"/>
    <mergeCell ref="A21:A22"/>
    <mergeCell ref="F21:F22"/>
    <mergeCell ref="A23:A24"/>
    <mergeCell ref="F23:F24"/>
    <mergeCell ref="A25:A26"/>
    <mergeCell ref="F25:F26"/>
    <mergeCell ref="A15:A16"/>
    <mergeCell ref="F15:F16"/>
    <mergeCell ref="A17:A18"/>
    <mergeCell ref="F17:F18"/>
    <mergeCell ref="A19:A20"/>
    <mergeCell ref="F19:F20"/>
    <mergeCell ref="A9:A10"/>
    <mergeCell ref="F9:F10"/>
    <mergeCell ref="A11:A12"/>
    <mergeCell ref="F11:F12"/>
    <mergeCell ref="A13:A14"/>
    <mergeCell ref="F13:F14"/>
    <mergeCell ref="A3:F3"/>
    <mergeCell ref="A5:F5"/>
    <mergeCell ref="A7:A8"/>
    <mergeCell ref="B7:C7"/>
    <mergeCell ref="D7:E7"/>
    <mergeCell ref="F7:F8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97D6-7884-4203-BBDE-5598972E5645}">
  <sheetPr codeName="Sheet4"/>
  <dimension ref="A1:M13"/>
  <sheetViews>
    <sheetView zoomScaleNormal="100" workbookViewId="0"/>
  </sheetViews>
  <sheetFormatPr defaultRowHeight="18" customHeight="1"/>
  <cols>
    <col min="1" max="3" width="9.58203125" style="18" customWidth="1"/>
    <col min="4" max="4" width="26.08203125" style="18" bestFit="1" customWidth="1"/>
    <col min="5" max="5" width="13.1640625" style="18" bestFit="1" customWidth="1"/>
    <col min="6" max="9" width="9.58203125" style="18" customWidth="1"/>
    <col min="10" max="10" width="10.58203125" style="18" bestFit="1" customWidth="1"/>
    <col min="11" max="11" width="9.58203125" style="18" customWidth="1"/>
    <col min="12" max="12" width="8.6640625" style="18"/>
    <col min="13" max="13" width="40.33203125" style="18" bestFit="1" customWidth="1"/>
    <col min="14" max="16384" width="8.6640625" style="18"/>
  </cols>
  <sheetData>
    <row r="1" spans="1:13" ht="20" customHeight="1">
      <c r="A1" s="17" t="s">
        <v>91</v>
      </c>
    </row>
    <row r="2" spans="1:13" ht="20" customHeight="1"/>
    <row r="3" spans="1:13" ht="40" customHeight="1">
      <c r="A3" s="31" t="s">
        <v>92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5" spans="1:13" ht="18" customHeight="1">
      <c r="A5" s="19" t="s">
        <v>34</v>
      </c>
      <c r="B5" s="19" t="s">
        <v>35</v>
      </c>
      <c r="C5" s="19" t="s">
        <v>93</v>
      </c>
      <c r="D5" s="19" t="s">
        <v>94</v>
      </c>
      <c r="E5" s="19" t="s">
        <v>95</v>
      </c>
      <c r="I5" s="19" t="s">
        <v>34</v>
      </c>
      <c r="J5" s="19" t="s">
        <v>96</v>
      </c>
      <c r="K5" s="19" t="s">
        <v>11</v>
      </c>
      <c r="M5" s="18">
        <f>COUNTA(会員名簿)</f>
        <v>45</v>
      </c>
    </row>
    <row r="6" spans="1:13" ht="18" customHeight="1">
      <c r="A6" s="18">
        <v>2001</v>
      </c>
      <c r="B6" s="18" t="s">
        <v>97</v>
      </c>
      <c r="C6" s="23" t="s">
        <v>130</v>
      </c>
      <c r="D6" s="24" t="s">
        <v>131</v>
      </c>
      <c r="E6" s="24" t="s">
        <v>132</v>
      </c>
      <c r="I6" s="18">
        <v>2001</v>
      </c>
      <c r="J6" s="18" t="s">
        <v>98</v>
      </c>
      <c r="K6" s="18">
        <v>12000</v>
      </c>
      <c r="M6" s="18" t="s">
        <v>99</v>
      </c>
    </row>
    <row r="7" spans="1:13" ht="18" customHeight="1">
      <c r="A7" s="18">
        <v>2002</v>
      </c>
      <c r="B7" s="18" t="s">
        <v>100</v>
      </c>
      <c r="C7" s="23" t="s">
        <v>133</v>
      </c>
      <c r="D7" s="24" t="s">
        <v>134</v>
      </c>
      <c r="E7" s="24" t="s">
        <v>135</v>
      </c>
      <c r="I7" s="18">
        <v>2003</v>
      </c>
      <c r="J7" s="18" t="s">
        <v>101</v>
      </c>
      <c r="K7" s="18">
        <v>7000</v>
      </c>
    </row>
    <row r="8" spans="1:13" ht="18" customHeight="1">
      <c r="A8" s="18">
        <v>2003</v>
      </c>
      <c r="B8" s="18" t="s">
        <v>102</v>
      </c>
      <c r="C8" s="23" t="s">
        <v>136</v>
      </c>
      <c r="D8" s="24" t="s">
        <v>137</v>
      </c>
      <c r="E8" s="24" t="s">
        <v>138</v>
      </c>
      <c r="I8" s="18">
        <v>2004</v>
      </c>
      <c r="J8" s="18" t="s">
        <v>98</v>
      </c>
      <c r="K8" s="18">
        <v>12000</v>
      </c>
    </row>
    <row r="9" spans="1:13" ht="18" customHeight="1">
      <c r="A9" s="18">
        <v>2004</v>
      </c>
      <c r="B9" s="18" t="s">
        <v>103</v>
      </c>
      <c r="C9" s="23" t="s">
        <v>139</v>
      </c>
      <c r="D9" s="24" t="s">
        <v>140</v>
      </c>
      <c r="E9" s="24" t="s">
        <v>141</v>
      </c>
      <c r="I9" s="18">
        <v>2009</v>
      </c>
      <c r="J9" s="18" t="s">
        <v>104</v>
      </c>
      <c r="K9" s="18">
        <v>1200</v>
      </c>
    </row>
    <row r="10" spans="1:13" ht="18" customHeight="1">
      <c r="A10" s="18">
        <v>2005</v>
      </c>
      <c r="B10" s="18" t="s">
        <v>105</v>
      </c>
      <c r="C10" s="23" t="s">
        <v>142</v>
      </c>
      <c r="D10" s="24" t="s">
        <v>143</v>
      </c>
      <c r="E10" s="24" t="s">
        <v>144</v>
      </c>
      <c r="I10" s="18">
        <v>2010</v>
      </c>
      <c r="J10" s="18" t="s">
        <v>98</v>
      </c>
      <c r="K10" s="18">
        <v>12000</v>
      </c>
    </row>
    <row r="11" spans="1:13" ht="18" customHeight="1">
      <c r="A11" s="18">
        <v>2006</v>
      </c>
      <c r="B11" s="18" t="s">
        <v>106</v>
      </c>
      <c r="C11" s="23" t="s">
        <v>145</v>
      </c>
      <c r="D11" s="24" t="s">
        <v>146</v>
      </c>
      <c r="E11" s="24" t="s">
        <v>147</v>
      </c>
      <c r="I11" s="18">
        <v>2006</v>
      </c>
      <c r="J11" s="18" t="s">
        <v>101</v>
      </c>
      <c r="K11" s="18">
        <v>7000</v>
      </c>
    </row>
    <row r="12" spans="1:13" ht="18" customHeight="1">
      <c r="A12" s="18">
        <v>2007</v>
      </c>
      <c r="B12" s="18" t="s">
        <v>107</v>
      </c>
      <c r="C12" s="23" t="s">
        <v>148</v>
      </c>
      <c r="D12" s="24" t="s">
        <v>149</v>
      </c>
      <c r="E12" s="24" t="s">
        <v>150</v>
      </c>
    </row>
    <row r="13" spans="1:13" ht="18" customHeight="1">
      <c r="A13" s="18">
        <v>2008</v>
      </c>
      <c r="B13" s="18" t="s">
        <v>108</v>
      </c>
      <c r="C13" s="23" t="s">
        <v>151</v>
      </c>
      <c r="D13" s="24" t="s">
        <v>152</v>
      </c>
      <c r="E13" s="24" t="s">
        <v>153</v>
      </c>
    </row>
  </sheetData>
  <mergeCells count="1">
    <mergeCell ref="A3:L3"/>
  </mergeCells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045D-87E0-468E-BAEC-D11BE54B7446}">
  <sheetPr codeName="Sheet10"/>
  <dimension ref="A1:H17"/>
  <sheetViews>
    <sheetView zoomScale="115" zoomScaleNormal="115" workbookViewId="0">
      <selection activeCell="G9" sqref="G9"/>
    </sheetView>
  </sheetViews>
  <sheetFormatPr defaultRowHeight="18"/>
  <cols>
    <col min="1" max="1" width="12.58203125" customWidth="1"/>
    <col min="2" max="3" width="8.58203125" customWidth="1"/>
    <col min="4" max="4" width="10.58203125" customWidth="1"/>
  </cols>
  <sheetData>
    <row r="1" spans="1:8" ht="20">
      <c r="A1" s="5" t="s">
        <v>83</v>
      </c>
    </row>
    <row r="2" spans="1:8" ht="20">
      <c r="A2" s="5"/>
    </row>
    <row r="3" spans="1:8" ht="40" customHeight="1">
      <c r="A3" s="29" t="s">
        <v>84</v>
      </c>
      <c r="B3" s="30"/>
      <c r="C3" s="30"/>
      <c r="D3" s="30"/>
      <c r="E3" s="30"/>
      <c r="F3" s="30"/>
      <c r="G3" s="30"/>
      <c r="H3" s="30"/>
    </row>
    <row r="5" spans="1:8">
      <c r="A5" s="6" t="s">
        <v>85</v>
      </c>
      <c r="B5" s="6" t="s">
        <v>86</v>
      </c>
      <c r="C5" s="6" t="s">
        <v>87</v>
      </c>
      <c r="D5" s="6" t="s">
        <v>88</v>
      </c>
    </row>
    <row r="6" spans="1:8">
      <c r="A6" s="8" t="s">
        <v>12</v>
      </c>
      <c r="B6" s="9">
        <v>240</v>
      </c>
      <c r="C6" s="9">
        <v>100</v>
      </c>
      <c r="D6" s="8"/>
    </row>
    <row r="7" spans="1:8">
      <c r="A7" s="8" t="s">
        <v>15</v>
      </c>
      <c r="B7" s="9">
        <v>35</v>
      </c>
      <c r="C7" s="9">
        <v>50</v>
      </c>
      <c r="D7" s="8"/>
    </row>
    <row r="8" spans="1:8">
      <c r="A8" s="8" t="s">
        <v>18</v>
      </c>
      <c r="B8" s="9">
        <v>180</v>
      </c>
      <c r="C8" s="9">
        <v>80</v>
      </c>
      <c r="D8" s="8"/>
    </row>
    <row r="9" spans="1:8">
      <c r="A9" s="8" t="s">
        <v>20</v>
      </c>
      <c r="B9" s="9">
        <v>60</v>
      </c>
      <c r="C9" s="9">
        <v>100</v>
      </c>
      <c r="D9" s="8"/>
    </row>
    <row r="10" spans="1:8">
      <c r="A10" s="8" t="s">
        <v>21</v>
      </c>
      <c r="B10" s="9">
        <v>12</v>
      </c>
      <c r="C10" s="9">
        <v>20</v>
      </c>
      <c r="D10" s="8"/>
    </row>
    <row r="11" spans="1:8">
      <c r="A11" s="8" t="s">
        <v>22</v>
      </c>
      <c r="B11" s="9">
        <v>150</v>
      </c>
      <c r="C11" s="9">
        <v>60</v>
      </c>
      <c r="D11" s="8"/>
    </row>
    <row r="12" spans="1:8">
      <c r="A12" s="8" t="s">
        <v>23</v>
      </c>
      <c r="B12" s="9">
        <v>25</v>
      </c>
      <c r="C12" s="9">
        <v>10</v>
      </c>
      <c r="D12" s="8"/>
    </row>
    <row r="13" spans="1:8">
      <c r="A13" s="8" t="s">
        <v>25</v>
      </c>
      <c r="B13" s="9">
        <v>400</v>
      </c>
      <c r="C13" s="9">
        <v>200</v>
      </c>
      <c r="D13" s="8"/>
    </row>
    <row r="14" spans="1:8">
      <c r="A14" s="8" t="s">
        <v>26</v>
      </c>
      <c r="B14" s="9">
        <v>8</v>
      </c>
      <c r="C14" s="9">
        <v>15</v>
      </c>
      <c r="D14" s="8"/>
    </row>
    <row r="15" spans="1:8">
      <c r="A15" s="8" t="s">
        <v>27</v>
      </c>
      <c r="B15" s="9">
        <v>90</v>
      </c>
      <c r="C15" s="9">
        <v>40</v>
      </c>
      <c r="D15" s="8"/>
    </row>
    <row r="16" spans="1:8">
      <c r="A16" s="8" t="s">
        <v>89</v>
      </c>
      <c r="B16" s="9">
        <v>45</v>
      </c>
      <c r="C16" s="9">
        <v>50</v>
      </c>
      <c r="D16" s="8"/>
    </row>
    <row r="17" spans="1:4">
      <c r="A17" s="8" t="s">
        <v>90</v>
      </c>
      <c r="B17" s="9">
        <v>110</v>
      </c>
      <c r="C17" s="9">
        <v>30</v>
      </c>
      <c r="D17" s="8"/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B62E-BC9C-4BFE-B526-9EDDB73FA1DD}">
  <sheetPr codeName="Sheet17"/>
  <dimension ref="A1:F20"/>
  <sheetViews>
    <sheetView zoomScale="115" zoomScaleNormal="115" workbookViewId="0">
      <selection activeCell="A3" sqref="A3:F3"/>
    </sheetView>
  </sheetViews>
  <sheetFormatPr defaultRowHeight="18"/>
  <cols>
    <col min="1" max="1" width="10.58203125" customWidth="1"/>
    <col min="2" max="2" width="14.58203125" customWidth="1"/>
    <col min="3" max="3" width="18.58203125" customWidth="1"/>
    <col min="4" max="4" width="8.58203125" customWidth="1"/>
    <col min="5" max="5" width="12.58203125" customWidth="1"/>
  </cols>
  <sheetData>
    <row r="1" spans="1:6" ht="20">
      <c r="A1" s="5" t="s">
        <v>32</v>
      </c>
    </row>
    <row r="2" spans="1:6" ht="20">
      <c r="A2" s="5"/>
    </row>
    <row r="3" spans="1:6" ht="80" customHeight="1">
      <c r="A3" s="29" t="s">
        <v>33</v>
      </c>
      <c r="B3" s="29"/>
      <c r="C3" s="29"/>
      <c r="D3" s="29"/>
      <c r="E3" s="29"/>
      <c r="F3" s="29"/>
    </row>
    <row r="5" spans="1:6">
      <c r="A5" s="6" t="s">
        <v>34</v>
      </c>
      <c r="B5" s="6" t="s">
        <v>35</v>
      </c>
      <c r="C5" s="6" t="s">
        <v>36</v>
      </c>
      <c r="D5" s="6" t="s">
        <v>37</v>
      </c>
      <c r="E5" s="6" t="s">
        <v>38</v>
      </c>
    </row>
    <row r="6" spans="1:6">
      <c r="A6" s="14" t="s">
        <v>39</v>
      </c>
      <c r="B6" s="8" t="s">
        <v>40</v>
      </c>
      <c r="C6" s="8" t="s">
        <v>41</v>
      </c>
      <c r="D6" s="8" t="s">
        <v>42</v>
      </c>
      <c r="E6" s="15">
        <v>45383</v>
      </c>
    </row>
    <row r="7" spans="1:6">
      <c r="A7" s="14" t="s">
        <v>43</v>
      </c>
      <c r="B7" s="8" t="s">
        <v>44</v>
      </c>
      <c r="C7" s="8" t="s">
        <v>45</v>
      </c>
      <c r="D7" s="8" t="s">
        <v>42</v>
      </c>
      <c r="E7" s="15">
        <v>45424</v>
      </c>
    </row>
    <row r="8" spans="1:6">
      <c r="A8" s="14" t="s">
        <v>46</v>
      </c>
      <c r="B8" s="8" t="s">
        <v>47</v>
      </c>
      <c r="C8" s="8" t="s">
        <v>48</v>
      </c>
      <c r="D8" s="8" t="s">
        <v>49</v>
      </c>
      <c r="E8" s="15">
        <v>45446</v>
      </c>
    </row>
    <row r="9" spans="1:6">
      <c r="A9" s="14" t="s">
        <v>50</v>
      </c>
      <c r="B9" s="8" t="s">
        <v>51</v>
      </c>
      <c r="C9" s="8" t="s">
        <v>52</v>
      </c>
      <c r="D9" s="8" t="s">
        <v>42</v>
      </c>
      <c r="E9" s="15">
        <v>45493</v>
      </c>
    </row>
    <row r="10" spans="1:6">
      <c r="A10" s="14" t="s">
        <v>53</v>
      </c>
      <c r="B10" s="8" t="s">
        <v>54</v>
      </c>
      <c r="C10" s="8"/>
      <c r="D10" s="8" t="s">
        <v>49</v>
      </c>
      <c r="E10" s="15">
        <v>45672</v>
      </c>
    </row>
    <row r="11" spans="1:6">
      <c r="A11" s="14" t="s">
        <v>55</v>
      </c>
      <c r="B11" s="8" t="s">
        <v>56</v>
      </c>
      <c r="C11" s="8" t="s">
        <v>57</v>
      </c>
      <c r="D11" s="8" t="s">
        <v>42</v>
      </c>
      <c r="E11" s="15">
        <v>45696</v>
      </c>
    </row>
    <row r="12" spans="1:6">
      <c r="A12" s="14" t="s">
        <v>58</v>
      </c>
      <c r="B12" s="8" t="s">
        <v>59</v>
      </c>
      <c r="C12" s="8" t="s">
        <v>60</v>
      </c>
      <c r="D12" s="8" t="s">
        <v>61</v>
      </c>
      <c r="E12" s="15">
        <v>45717</v>
      </c>
    </row>
    <row r="13" spans="1:6">
      <c r="A13" s="14" t="s">
        <v>62</v>
      </c>
      <c r="B13" s="8" t="s">
        <v>63</v>
      </c>
      <c r="C13" s="8" t="s">
        <v>64</v>
      </c>
      <c r="D13" s="8" t="s">
        <v>42</v>
      </c>
      <c r="E13" s="15">
        <v>45757</v>
      </c>
    </row>
    <row r="14" spans="1:6">
      <c r="A14" s="14" t="s">
        <v>65</v>
      </c>
      <c r="B14" s="8" t="s">
        <v>66</v>
      </c>
      <c r="C14" s="8" t="s">
        <v>67</v>
      </c>
      <c r="D14" s="8" t="s">
        <v>61</v>
      </c>
      <c r="E14" s="15">
        <v>45799</v>
      </c>
    </row>
    <row r="15" spans="1:6">
      <c r="A15" s="14" t="s">
        <v>68</v>
      </c>
      <c r="B15" s="8" t="s">
        <v>69</v>
      </c>
      <c r="C15" s="8" t="s">
        <v>70</v>
      </c>
      <c r="D15" s="8" t="s">
        <v>49</v>
      </c>
      <c r="E15" s="15">
        <v>45899</v>
      </c>
    </row>
    <row r="16" spans="1:6">
      <c r="A16" s="14" t="s">
        <v>62</v>
      </c>
      <c r="B16" s="8" t="s">
        <v>63</v>
      </c>
      <c r="C16" s="8" t="s">
        <v>64</v>
      </c>
      <c r="D16" s="8" t="s">
        <v>42</v>
      </c>
      <c r="E16" s="15">
        <v>45757</v>
      </c>
    </row>
    <row r="17" spans="1:5">
      <c r="A17" s="14" t="s">
        <v>71</v>
      </c>
      <c r="B17" s="8" t="s">
        <v>72</v>
      </c>
      <c r="C17" s="8" t="s">
        <v>73</v>
      </c>
      <c r="D17" s="8" t="s">
        <v>42</v>
      </c>
      <c r="E17" s="15">
        <v>46029</v>
      </c>
    </row>
    <row r="18" spans="1:5">
      <c r="A18" s="14" t="s">
        <v>74</v>
      </c>
      <c r="B18" s="8" t="s">
        <v>75</v>
      </c>
      <c r="C18" s="8" t="s">
        <v>76</v>
      </c>
      <c r="D18" s="8" t="s">
        <v>61</v>
      </c>
      <c r="E18" s="16">
        <v>46082</v>
      </c>
    </row>
    <row r="19" spans="1:5">
      <c r="A19" s="14" t="s">
        <v>77</v>
      </c>
      <c r="B19" s="8" t="s">
        <v>78</v>
      </c>
      <c r="C19" s="8" t="s">
        <v>79</v>
      </c>
      <c r="D19" s="8" t="s">
        <v>49</v>
      </c>
      <c r="E19" s="15">
        <v>46191</v>
      </c>
    </row>
    <row r="20" spans="1:5">
      <c r="A20" s="14" t="s">
        <v>80</v>
      </c>
      <c r="B20" s="8" t="s">
        <v>81</v>
      </c>
      <c r="C20" s="8" t="s">
        <v>82</v>
      </c>
      <c r="D20" s="8" t="s">
        <v>42</v>
      </c>
      <c r="E20" s="15">
        <v>46236</v>
      </c>
    </row>
  </sheetData>
  <mergeCells count="1">
    <mergeCell ref="A3:F3"/>
  </mergeCells>
  <phoneticPr fontId="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818AF-FE8A-45E9-98C8-C1DCB6C1147B}">
  <sheetPr codeName="Sheet6"/>
  <dimension ref="A1:H31"/>
  <sheetViews>
    <sheetView zoomScale="115" zoomScaleNormal="115" workbookViewId="0">
      <selection activeCell="H25" sqref="H25"/>
    </sheetView>
  </sheetViews>
  <sheetFormatPr defaultRowHeight="18"/>
  <cols>
    <col min="1" max="1" width="8.58203125" customWidth="1"/>
    <col min="2" max="2" width="12.58203125" customWidth="1"/>
    <col min="3" max="6" width="8.58203125" customWidth="1"/>
    <col min="7" max="7" width="10.58203125" customWidth="1"/>
  </cols>
  <sheetData>
    <row r="1" spans="1:8" ht="20">
      <c r="A1" s="5" t="s">
        <v>3</v>
      </c>
    </row>
    <row r="2" spans="1:8" ht="20">
      <c r="A2" s="5"/>
    </row>
    <row r="3" spans="1:8" ht="40" customHeight="1">
      <c r="A3" s="28" t="s">
        <v>4</v>
      </c>
      <c r="B3" s="28"/>
      <c r="C3" s="28"/>
      <c r="D3" s="28"/>
      <c r="E3" s="28"/>
      <c r="F3" s="28"/>
      <c r="G3" s="28"/>
      <c r="H3" s="28"/>
    </row>
    <row r="5" spans="1:8">
      <c r="A5" s="6" t="s">
        <v>5</v>
      </c>
      <c r="B5" s="6" t="s">
        <v>6</v>
      </c>
      <c r="C5" s="6" t="s">
        <v>7</v>
      </c>
      <c r="D5" s="6" t="s">
        <v>8</v>
      </c>
      <c r="E5" s="6" t="s">
        <v>9</v>
      </c>
      <c r="F5" s="6" t="s">
        <v>10</v>
      </c>
      <c r="G5" s="6" t="s">
        <v>11</v>
      </c>
    </row>
    <row r="6" spans="1:8">
      <c r="A6" s="7">
        <v>46235</v>
      </c>
      <c r="B6" s="8" t="s">
        <v>12</v>
      </c>
      <c r="C6" s="8" t="s">
        <v>13</v>
      </c>
      <c r="D6" s="8" t="s">
        <v>14</v>
      </c>
      <c r="E6" s="9">
        <v>120</v>
      </c>
      <c r="F6" s="9">
        <v>60</v>
      </c>
      <c r="G6" s="9">
        <f t="shared" ref="G6:G25" si="0">E6*F6</f>
        <v>7200</v>
      </c>
    </row>
    <row r="7" spans="1:8">
      <c r="A7" s="7">
        <v>46235</v>
      </c>
      <c r="B7" s="8" t="s">
        <v>15</v>
      </c>
      <c r="C7" s="8" t="s">
        <v>16</v>
      </c>
      <c r="D7" s="8" t="s">
        <v>17</v>
      </c>
      <c r="E7" s="9">
        <v>45</v>
      </c>
      <c r="F7" s="9">
        <v>150</v>
      </c>
      <c r="G7" s="9">
        <f t="shared" si="0"/>
        <v>6750</v>
      </c>
    </row>
    <row r="8" spans="1:8">
      <c r="A8" s="7">
        <v>46236</v>
      </c>
      <c r="B8" s="8" t="s">
        <v>18</v>
      </c>
      <c r="C8" s="8" t="s">
        <v>13</v>
      </c>
      <c r="D8" s="8" t="s">
        <v>19</v>
      </c>
      <c r="E8" s="9">
        <v>80</v>
      </c>
      <c r="F8" s="9">
        <v>100</v>
      </c>
      <c r="G8" s="9">
        <f t="shared" si="0"/>
        <v>8000</v>
      </c>
    </row>
    <row r="9" spans="1:8">
      <c r="A9" s="7">
        <v>46237</v>
      </c>
      <c r="B9" s="8" t="s">
        <v>20</v>
      </c>
      <c r="C9" s="8" t="s">
        <v>13</v>
      </c>
      <c r="D9" s="8" t="s">
        <v>14</v>
      </c>
      <c r="E9" s="9">
        <v>60</v>
      </c>
      <c r="F9" s="9">
        <v>120</v>
      </c>
      <c r="G9" s="9">
        <f t="shared" si="0"/>
        <v>7200</v>
      </c>
    </row>
    <row r="10" spans="1:8">
      <c r="A10" s="7">
        <v>46238</v>
      </c>
      <c r="B10" s="8" t="s">
        <v>21</v>
      </c>
      <c r="C10" s="8" t="s">
        <v>16</v>
      </c>
      <c r="D10" s="8" t="s">
        <v>17</v>
      </c>
      <c r="E10" s="9">
        <v>30</v>
      </c>
      <c r="F10" s="9">
        <v>500</v>
      </c>
      <c r="G10" s="9">
        <f t="shared" si="0"/>
        <v>15000</v>
      </c>
    </row>
    <row r="11" spans="1:8">
      <c r="A11" s="7">
        <v>46239</v>
      </c>
      <c r="B11" s="8" t="s">
        <v>22</v>
      </c>
      <c r="C11" s="8" t="s">
        <v>16</v>
      </c>
      <c r="D11" s="8" t="s">
        <v>19</v>
      </c>
      <c r="E11" s="9">
        <v>90</v>
      </c>
      <c r="F11" s="9">
        <v>200</v>
      </c>
      <c r="G11" s="9">
        <f t="shared" si="0"/>
        <v>18000</v>
      </c>
    </row>
    <row r="12" spans="1:8">
      <c r="A12" s="7">
        <v>46242</v>
      </c>
      <c r="B12" s="8" t="s">
        <v>12</v>
      </c>
      <c r="C12" s="8" t="s">
        <v>13</v>
      </c>
      <c r="D12" s="8" t="s">
        <v>17</v>
      </c>
      <c r="E12" s="9">
        <v>70</v>
      </c>
      <c r="F12" s="9">
        <v>60</v>
      </c>
      <c r="G12" s="9">
        <f t="shared" si="0"/>
        <v>4200</v>
      </c>
    </row>
    <row r="13" spans="1:8">
      <c r="A13" s="7">
        <v>46243</v>
      </c>
      <c r="B13" s="8" t="s">
        <v>23</v>
      </c>
      <c r="C13" s="8" t="s">
        <v>24</v>
      </c>
      <c r="D13" s="8" t="s">
        <v>14</v>
      </c>
      <c r="E13" s="9">
        <v>15</v>
      </c>
      <c r="F13" s="9">
        <v>800</v>
      </c>
      <c r="G13" s="9">
        <f t="shared" si="0"/>
        <v>12000</v>
      </c>
    </row>
    <row r="14" spans="1:8">
      <c r="A14" s="7">
        <v>46243</v>
      </c>
      <c r="B14" s="8" t="s">
        <v>15</v>
      </c>
      <c r="C14" s="8" t="s">
        <v>16</v>
      </c>
      <c r="D14" s="8" t="s">
        <v>19</v>
      </c>
      <c r="E14" s="9">
        <v>55</v>
      </c>
      <c r="F14" s="9">
        <v>150</v>
      </c>
      <c r="G14" s="9">
        <f t="shared" si="0"/>
        <v>8250</v>
      </c>
    </row>
    <row r="15" spans="1:8">
      <c r="A15" s="7">
        <v>46244</v>
      </c>
      <c r="B15" s="8" t="s">
        <v>25</v>
      </c>
      <c r="C15" s="8" t="s">
        <v>24</v>
      </c>
      <c r="D15" s="8" t="s">
        <v>17</v>
      </c>
      <c r="E15" s="9">
        <v>200</v>
      </c>
      <c r="F15" s="9">
        <v>30</v>
      </c>
      <c r="G15" s="9">
        <f t="shared" si="0"/>
        <v>6000</v>
      </c>
    </row>
    <row r="16" spans="1:8">
      <c r="A16" s="7">
        <v>46245</v>
      </c>
      <c r="B16" s="8" t="s">
        <v>20</v>
      </c>
      <c r="C16" s="8" t="s">
        <v>13</v>
      </c>
      <c r="D16" s="8" t="s">
        <v>19</v>
      </c>
      <c r="E16" s="9">
        <v>85</v>
      </c>
      <c r="F16" s="9">
        <v>120</v>
      </c>
      <c r="G16" s="9">
        <f t="shared" si="0"/>
        <v>10200</v>
      </c>
    </row>
    <row r="17" spans="1:7">
      <c r="A17" s="7">
        <v>46246</v>
      </c>
      <c r="B17" s="8" t="s">
        <v>21</v>
      </c>
      <c r="C17" s="8" t="s">
        <v>16</v>
      </c>
      <c r="D17" s="8" t="s">
        <v>14</v>
      </c>
      <c r="E17" s="9">
        <v>40</v>
      </c>
      <c r="F17" s="9">
        <v>500</v>
      </c>
      <c r="G17" s="9">
        <f t="shared" si="0"/>
        <v>20000</v>
      </c>
    </row>
    <row r="18" spans="1:7">
      <c r="A18" s="7">
        <v>46249</v>
      </c>
      <c r="B18" s="8" t="s">
        <v>26</v>
      </c>
      <c r="C18" s="8" t="s">
        <v>24</v>
      </c>
      <c r="D18" s="8" t="s">
        <v>17</v>
      </c>
      <c r="E18" s="9">
        <v>25</v>
      </c>
      <c r="F18" s="9">
        <v>350</v>
      </c>
      <c r="G18" s="9">
        <f t="shared" si="0"/>
        <v>8750</v>
      </c>
    </row>
    <row r="19" spans="1:7">
      <c r="A19" s="7">
        <v>46250</v>
      </c>
      <c r="B19" s="8" t="s">
        <v>22</v>
      </c>
      <c r="C19" s="8" t="s">
        <v>16</v>
      </c>
      <c r="D19" s="8" t="s">
        <v>14</v>
      </c>
      <c r="E19" s="9">
        <v>110</v>
      </c>
      <c r="F19" s="9">
        <v>200</v>
      </c>
      <c r="G19" s="9">
        <f t="shared" si="0"/>
        <v>22000</v>
      </c>
    </row>
    <row r="20" spans="1:7">
      <c r="A20" s="7">
        <v>46251</v>
      </c>
      <c r="B20" s="8" t="s">
        <v>18</v>
      </c>
      <c r="C20" s="8" t="s">
        <v>13</v>
      </c>
      <c r="D20" s="8" t="s">
        <v>19</v>
      </c>
      <c r="E20" s="9">
        <v>65</v>
      </c>
      <c r="F20" s="9">
        <v>100</v>
      </c>
      <c r="G20" s="9">
        <f t="shared" si="0"/>
        <v>6500</v>
      </c>
    </row>
    <row r="21" spans="1:7">
      <c r="A21" s="7">
        <v>46252</v>
      </c>
      <c r="B21" s="8" t="s">
        <v>27</v>
      </c>
      <c r="C21" s="8" t="s">
        <v>24</v>
      </c>
      <c r="D21" s="8" t="s">
        <v>17</v>
      </c>
      <c r="E21" s="9">
        <v>75</v>
      </c>
      <c r="F21" s="9">
        <v>180</v>
      </c>
      <c r="G21" s="9">
        <f t="shared" si="0"/>
        <v>13500</v>
      </c>
    </row>
    <row r="22" spans="1:7">
      <c r="A22" s="7">
        <v>46253</v>
      </c>
      <c r="B22" s="8" t="s">
        <v>12</v>
      </c>
      <c r="C22" s="8" t="s">
        <v>13</v>
      </c>
      <c r="D22" s="8" t="s">
        <v>14</v>
      </c>
      <c r="E22" s="9">
        <v>95</v>
      </c>
      <c r="F22" s="9">
        <v>60</v>
      </c>
      <c r="G22" s="9">
        <f t="shared" si="0"/>
        <v>5700</v>
      </c>
    </row>
    <row r="23" spans="1:7">
      <c r="A23" s="7">
        <v>46256</v>
      </c>
      <c r="B23" s="8" t="s">
        <v>15</v>
      </c>
      <c r="C23" s="8" t="s">
        <v>16</v>
      </c>
      <c r="D23" s="8" t="s">
        <v>17</v>
      </c>
      <c r="E23" s="9">
        <v>50</v>
      </c>
      <c r="F23" s="9">
        <v>150</v>
      </c>
      <c r="G23" s="9">
        <f t="shared" si="0"/>
        <v>7500</v>
      </c>
    </row>
    <row r="24" spans="1:7">
      <c r="A24" s="7">
        <v>46257</v>
      </c>
      <c r="B24" s="8" t="s">
        <v>20</v>
      </c>
      <c r="C24" s="8" t="s">
        <v>13</v>
      </c>
      <c r="D24" s="8" t="s">
        <v>19</v>
      </c>
      <c r="E24" s="9">
        <v>100</v>
      </c>
      <c r="F24" s="9">
        <v>120</v>
      </c>
      <c r="G24" s="9">
        <f t="shared" si="0"/>
        <v>12000</v>
      </c>
    </row>
    <row r="25" spans="1:7">
      <c r="A25" s="7">
        <v>46258</v>
      </c>
      <c r="B25" s="8" t="s">
        <v>25</v>
      </c>
      <c r="C25" s="8" t="s">
        <v>24</v>
      </c>
      <c r="D25" s="8" t="s">
        <v>14</v>
      </c>
      <c r="E25" s="9">
        <v>150</v>
      </c>
      <c r="F25" s="9">
        <v>30</v>
      </c>
      <c r="G25" s="9">
        <f t="shared" si="0"/>
        <v>4500</v>
      </c>
    </row>
    <row r="27" spans="1:7">
      <c r="F27" s="10" t="s">
        <v>28</v>
      </c>
      <c r="G27" s="11">
        <f>SUM(G6:G25)</f>
        <v>203250</v>
      </c>
    </row>
    <row r="28" spans="1:7">
      <c r="F28" s="10" t="s">
        <v>29</v>
      </c>
      <c r="G28" s="12">
        <f>AVERAGE(G6:G25)</f>
        <v>10162.5</v>
      </c>
    </row>
    <row r="30" spans="1:7" ht="20">
      <c r="A30" s="13" t="s">
        <v>30</v>
      </c>
    </row>
    <row r="31" spans="1:7">
      <c r="A31" t="s">
        <v>31</v>
      </c>
      <c r="D31" s="8" t="e">
        <f>G27/E100</f>
        <v>#DIV/0!</v>
      </c>
    </row>
  </sheetData>
  <mergeCells count="1">
    <mergeCell ref="A3:H3"/>
  </mergeCells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F1699-46C1-451C-B7C4-BC6800AF58C5}">
  <sheetPr codeName="Sheet5"/>
  <dimension ref="A1:F32"/>
  <sheetViews>
    <sheetView zoomScale="85" zoomScaleNormal="85" workbookViewId="0"/>
  </sheetViews>
  <sheetFormatPr defaultRowHeight="18" customHeight="1"/>
  <cols>
    <col min="1" max="6" width="16.58203125" style="18" customWidth="1"/>
    <col min="7" max="16384" width="8.6640625" style="18"/>
  </cols>
  <sheetData>
    <row r="1" spans="1:6" ht="20" customHeight="1">
      <c r="A1" s="17" t="s">
        <v>109</v>
      </c>
    </row>
    <row r="2" spans="1:6" ht="20" customHeight="1"/>
    <row r="3" spans="1:6" ht="36" customHeight="1">
      <c r="A3" s="31" t="s">
        <v>110</v>
      </c>
      <c r="B3" s="31"/>
      <c r="C3" s="31"/>
      <c r="D3" s="31"/>
      <c r="E3" s="31"/>
      <c r="F3" s="31"/>
    </row>
    <row r="5" spans="1:6" ht="20" customHeight="1">
      <c r="A5" s="32" t="s">
        <v>111</v>
      </c>
      <c r="B5" s="33"/>
      <c r="C5" s="33"/>
      <c r="D5" s="33"/>
      <c r="E5" s="33"/>
      <c r="F5" s="33"/>
    </row>
    <row r="7" spans="1:6" ht="18" customHeight="1">
      <c r="A7" s="34" t="s">
        <v>112</v>
      </c>
      <c r="B7" s="36" t="s">
        <v>113</v>
      </c>
      <c r="C7" s="37"/>
      <c r="D7" s="36" t="s">
        <v>114</v>
      </c>
      <c r="E7" s="37"/>
      <c r="F7" s="34" t="s">
        <v>115</v>
      </c>
    </row>
    <row r="8" spans="1:6" ht="18" customHeight="1">
      <c r="A8" s="35"/>
      <c r="B8" s="20" t="s">
        <v>5</v>
      </c>
      <c r="C8" s="20" t="s">
        <v>8</v>
      </c>
      <c r="D8" s="20" t="s">
        <v>5</v>
      </c>
      <c r="E8" s="20" t="s">
        <v>8</v>
      </c>
      <c r="F8" s="35"/>
    </row>
    <row r="9" spans="1:6" ht="18" customHeight="1">
      <c r="A9" s="38">
        <v>1</v>
      </c>
      <c r="B9" s="21">
        <v>46027</v>
      </c>
      <c r="C9" s="22" t="s">
        <v>14</v>
      </c>
      <c r="D9" s="21">
        <v>46030</v>
      </c>
      <c r="E9" s="22" t="s">
        <v>19</v>
      </c>
      <c r="F9" s="39" t="s">
        <v>116</v>
      </c>
    </row>
    <row r="10" spans="1:6" ht="18" customHeight="1">
      <c r="A10" s="38"/>
      <c r="B10" s="22"/>
      <c r="C10" s="22"/>
      <c r="D10" s="22"/>
      <c r="E10" s="22"/>
      <c r="F10" s="39"/>
    </row>
    <row r="11" spans="1:6" ht="18" customHeight="1">
      <c r="A11" s="38">
        <v>2</v>
      </c>
      <c r="B11" s="21">
        <v>46028</v>
      </c>
      <c r="C11" s="22" t="s">
        <v>17</v>
      </c>
      <c r="D11" s="22"/>
      <c r="E11" s="22"/>
      <c r="F11" s="39" t="s">
        <v>117</v>
      </c>
    </row>
    <row r="12" spans="1:6" ht="18" customHeight="1">
      <c r="A12" s="38"/>
      <c r="B12" s="22"/>
      <c r="C12" s="22"/>
      <c r="D12" s="22"/>
      <c r="E12" s="22"/>
      <c r="F12" s="39"/>
    </row>
    <row r="13" spans="1:6" ht="18" customHeight="1">
      <c r="A13" s="38">
        <v>3</v>
      </c>
      <c r="B13" s="21">
        <v>46029</v>
      </c>
      <c r="C13" s="22" t="s">
        <v>19</v>
      </c>
      <c r="D13" s="21">
        <v>46032</v>
      </c>
      <c r="E13" s="22" t="s">
        <v>118</v>
      </c>
      <c r="F13" s="39" t="s">
        <v>119</v>
      </c>
    </row>
    <row r="14" spans="1:6" ht="18" customHeight="1">
      <c r="A14" s="38"/>
      <c r="B14" s="22"/>
      <c r="C14" s="22"/>
      <c r="D14" s="22"/>
      <c r="E14" s="22"/>
      <c r="F14" s="39"/>
    </row>
    <row r="15" spans="1:6" ht="18" customHeight="1">
      <c r="A15" s="38">
        <v>4</v>
      </c>
      <c r="B15" s="21">
        <v>46030</v>
      </c>
      <c r="C15" s="22" t="s">
        <v>120</v>
      </c>
      <c r="D15" s="21">
        <v>46033</v>
      </c>
      <c r="E15" s="22" t="s">
        <v>14</v>
      </c>
      <c r="F15" s="39" t="s">
        <v>121</v>
      </c>
    </row>
    <row r="16" spans="1:6" ht="18" customHeight="1">
      <c r="A16" s="38"/>
      <c r="B16" s="22"/>
      <c r="C16" s="22"/>
      <c r="D16" s="22"/>
      <c r="E16" s="22"/>
      <c r="F16" s="39"/>
    </row>
    <row r="17" spans="1:6" ht="18" customHeight="1">
      <c r="A17" s="38">
        <v>5</v>
      </c>
      <c r="B17" s="21">
        <v>46031</v>
      </c>
      <c r="C17" s="22" t="s">
        <v>118</v>
      </c>
      <c r="D17" s="21">
        <v>46034</v>
      </c>
      <c r="E17" s="22" t="s">
        <v>17</v>
      </c>
      <c r="F17" s="39" t="s">
        <v>122</v>
      </c>
    </row>
    <row r="18" spans="1:6" ht="18" customHeight="1">
      <c r="A18" s="38"/>
      <c r="B18" s="22"/>
      <c r="C18" s="22"/>
      <c r="D18" s="22"/>
      <c r="E18" s="22"/>
      <c r="F18" s="39"/>
    </row>
    <row r="19" spans="1:6" ht="18" customHeight="1">
      <c r="A19" s="38">
        <v>6</v>
      </c>
      <c r="B19" s="21">
        <v>46032</v>
      </c>
      <c r="C19" s="22" t="s">
        <v>14</v>
      </c>
      <c r="D19" s="22"/>
      <c r="E19" s="22"/>
      <c r="F19" s="39" t="s">
        <v>123</v>
      </c>
    </row>
    <row r="20" spans="1:6" ht="18" customHeight="1">
      <c r="A20" s="38"/>
      <c r="B20" s="22"/>
      <c r="C20" s="22"/>
      <c r="D20" s="22"/>
      <c r="E20" s="22"/>
      <c r="F20" s="39"/>
    </row>
    <row r="21" spans="1:6" ht="18" customHeight="1">
      <c r="A21" s="38">
        <v>7</v>
      </c>
      <c r="B21" s="21">
        <v>46033</v>
      </c>
      <c r="C21" s="22" t="s">
        <v>17</v>
      </c>
      <c r="D21" s="21">
        <v>46036</v>
      </c>
      <c r="E21" s="22" t="s">
        <v>120</v>
      </c>
      <c r="F21" s="39" t="s">
        <v>124</v>
      </c>
    </row>
    <row r="22" spans="1:6" ht="18" customHeight="1">
      <c r="A22" s="38"/>
      <c r="B22" s="22"/>
      <c r="C22" s="22"/>
      <c r="D22" s="22"/>
      <c r="E22" s="22"/>
      <c r="F22" s="39"/>
    </row>
    <row r="23" spans="1:6" ht="18" customHeight="1">
      <c r="A23" s="38">
        <v>8</v>
      </c>
      <c r="B23" s="21">
        <v>46034</v>
      </c>
      <c r="C23" s="22" t="s">
        <v>19</v>
      </c>
      <c r="D23" s="21">
        <v>46037</v>
      </c>
      <c r="E23" s="22" t="s">
        <v>118</v>
      </c>
      <c r="F23" s="39" t="s">
        <v>125</v>
      </c>
    </row>
    <row r="24" spans="1:6" ht="18" customHeight="1">
      <c r="A24" s="38"/>
      <c r="B24" s="22"/>
      <c r="C24" s="22"/>
      <c r="D24" s="22"/>
      <c r="E24" s="22"/>
      <c r="F24" s="39"/>
    </row>
    <row r="25" spans="1:6" ht="18" customHeight="1">
      <c r="A25" s="38">
        <v>9</v>
      </c>
      <c r="B25" s="21">
        <v>46035</v>
      </c>
      <c r="C25" s="22" t="s">
        <v>120</v>
      </c>
      <c r="D25" s="21">
        <v>46038</v>
      </c>
      <c r="E25" s="22" t="s">
        <v>14</v>
      </c>
      <c r="F25" s="39" t="s">
        <v>126</v>
      </c>
    </row>
    <row r="26" spans="1:6" ht="18" customHeight="1">
      <c r="A26" s="38"/>
      <c r="B26" s="22"/>
      <c r="C26" s="22"/>
      <c r="D26" s="22"/>
      <c r="E26" s="22"/>
      <c r="F26" s="39"/>
    </row>
    <row r="27" spans="1:6" ht="18" customHeight="1">
      <c r="A27" s="38">
        <v>10</v>
      </c>
      <c r="B27" s="21">
        <v>46036</v>
      </c>
      <c r="C27" s="22" t="s">
        <v>118</v>
      </c>
      <c r="D27" s="22"/>
      <c r="E27" s="22"/>
      <c r="F27" s="39" t="s">
        <v>127</v>
      </c>
    </row>
    <row r="28" spans="1:6" ht="18" customHeight="1">
      <c r="A28" s="38"/>
      <c r="B28" s="22"/>
      <c r="C28" s="22"/>
      <c r="D28" s="22"/>
      <c r="E28" s="22"/>
      <c r="F28" s="39"/>
    </row>
    <row r="29" spans="1:6" ht="18" customHeight="1">
      <c r="A29" s="38">
        <v>11</v>
      </c>
      <c r="B29" s="21">
        <v>46037</v>
      </c>
      <c r="C29" s="22" t="s">
        <v>14</v>
      </c>
      <c r="D29" s="21">
        <v>46040</v>
      </c>
      <c r="E29" s="22" t="s">
        <v>19</v>
      </c>
      <c r="F29" s="39" t="s">
        <v>128</v>
      </c>
    </row>
    <row r="30" spans="1:6" ht="18" customHeight="1">
      <c r="A30" s="38"/>
      <c r="B30" s="22"/>
      <c r="C30" s="22"/>
      <c r="D30" s="22"/>
      <c r="E30" s="22"/>
      <c r="F30" s="39"/>
    </row>
    <row r="31" spans="1:6" ht="18" customHeight="1">
      <c r="A31" s="38">
        <v>12</v>
      </c>
      <c r="B31" s="21">
        <v>46038</v>
      </c>
      <c r="C31" s="22" t="s">
        <v>17</v>
      </c>
      <c r="D31" s="21">
        <v>46041</v>
      </c>
      <c r="E31" s="22" t="s">
        <v>120</v>
      </c>
      <c r="F31" s="39" t="s">
        <v>129</v>
      </c>
    </row>
    <row r="32" spans="1:6" ht="18" customHeight="1">
      <c r="A32" s="38"/>
      <c r="B32" s="22"/>
      <c r="C32" s="22"/>
      <c r="D32" s="22"/>
      <c r="E32" s="22"/>
      <c r="F32" s="39"/>
    </row>
  </sheetData>
  <mergeCells count="30">
    <mergeCell ref="A27:A28"/>
    <mergeCell ref="F27:F28"/>
    <mergeCell ref="A29:A30"/>
    <mergeCell ref="F29:F30"/>
    <mergeCell ref="A31:A32"/>
    <mergeCell ref="F31:F32"/>
    <mergeCell ref="A21:A22"/>
    <mergeCell ref="F21:F22"/>
    <mergeCell ref="A23:A24"/>
    <mergeCell ref="F23:F24"/>
    <mergeCell ref="A25:A26"/>
    <mergeCell ref="F25:F26"/>
    <mergeCell ref="A15:A16"/>
    <mergeCell ref="F15:F16"/>
    <mergeCell ref="A17:A18"/>
    <mergeCell ref="F17:F18"/>
    <mergeCell ref="A19:A20"/>
    <mergeCell ref="F19:F20"/>
    <mergeCell ref="A9:A10"/>
    <mergeCell ref="F9:F10"/>
    <mergeCell ref="A11:A12"/>
    <mergeCell ref="F11:F12"/>
    <mergeCell ref="A13:A14"/>
    <mergeCell ref="F13:F14"/>
    <mergeCell ref="A3:F3"/>
    <mergeCell ref="A5:F5"/>
    <mergeCell ref="A7:A8"/>
    <mergeCell ref="B7:C7"/>
    <mergeCell ref="D7:E7"/>
    <mergeCell ref="F7:F8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</vt:i4>
      </vt:variant>
    </vt:vector>
  </HeadingPairs>
  <TitlesOfParts>
    <vt:vector size="15" baseType="lpstr">
      <vt:lpstr>目次</vt:lpstr>
      <vt:lpstr>テスト用1</vt:lpstr>
      <vt:lpstr>テスト用2</vt:lpstr>
      <vt:lpstr>テスト用3</vt:lpstr>
      <vt:lpstr>テスト用4</vt:lpstr>
      <vt:lpstr>テスト用5</vt:lpstr>
      <vt:lpstr>テスト用4_原本</vt:lpstr>
      <vt:lpstr>テスト用3_原本</vt:lpstr>
      <vt:lpstr>テスト用2_原本</vt:lpstr>
      <vt:lpstr>テスト用1_原本</vt:lpstr>
      <vt:lpstr>テスト用5_原本</vt:lpstr>
      <vt:lpstr>GEMINI_API_KEY</vt:lpstr>
      <vt:lpstr>会員名簿</vt:lpstr>
      <vt:lpstr>使われない名前</vt:lpstr>
      <vt:lpstr>申込一覧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2026-08-29T22:32:34Z</dcterms:created>
  <dcterms:modified xsi:type="dcterms:W3CDTF">2026-08-30T10:44:33Z</dcterms:modified>
</cp:coreProperties>
</file>